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GAP REGISTER" sheetId="2" state="visible" r:id="rId4"/>
    <sheet name="COVERAGE MAP" sheetId="3" state="visible" r:id="rId5"/>
    <sheet name="CHANGED ITEMS" sheetId="4" state="visible" r:id="rId6"/>
    <sheet name="TEST IMPACT" sheetId="5" state="visible" r:id="rId7"/>
    <sheet name="SIGN-OFF" sheetId="6" state="visible" r:id="rId8"/>
  </sheets>
  <definedNames>
    <definedName function="false" hidden="true" localSheetId="1" name="_xlnm._FilterDatabase" vbProcedure="false">'GAP REGISTER'!$A$3:$K$31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<sst xmlns="http://schemas.openxmlformats.org/spreadsheetml/2006/main" count="534" uniqueCount="402">
  <si>
    <t xml:space="preserve">JOBBees — Scope Reconciliation Workbook</t>
  </si>
  <si>
    <t xml:space="preserve">Booklet (13-sprint MVP plan)  vs  Feature Estimation v1.2  vs  Test Plan v2.0</t>
  </si>
  <si>
    <t xml:space="preserve">Purpose</t>
  </si>
  <si>
    <t xml:space="preserve">Re-sync the three planning artifacts. Every item the cross-check found missing or changed is listed with a column for the developer to declare its true status (Deferred / Dropped / Covered-elsewhere / Will-add) and a destination. Once filled, the estimate, booklet and test plan agree.</t>
  </si>
  <si>
    <t xml:space="preserve">How to use</t>
  </si>
  <si>
    <t xml:space="preserve">Work the GAP REGISTER tab top to bottom. For each row set 'Dev Decision' from the dropdown, name the Destination (sprint, V2, or N/A), and add a note. Severity and the architect's recommendation are pre-filled.</t>
  </si>
  <si>
    <t xml:space="preserve">Tabs</t>
  </si>
  <si>
    <t xml:space="preserve">GAP REGISTER — the fill-in table (28 items).   COVERAGE MAP — all 8 estimate components vs booklet status.   CHANGED ITEMS — features built differently.   TEST IMPACT — what each gap does to the test suite.   SIGN-OFF — founder + dev acceptance block.</t>
  </si>
  <si>
    <t xml:space="preserve">Decision values</t>
  </si>
  <si>
    <t xml:space="preserve">DEFERRED = agreed post-MVP, must appear in booklet appendix + be removed from MVP estimate.   DROPPED = cut permanently, remove from estimate.   COVERED = already built elsewhere, point to where.   WILL-ADD = reinstating into a named sprint.</t>
  </si>
  <si>
    <t xml:space="preserve">Severity key</t>
  </si>
  <si>
    <t xml:space="preserve">HIGH = launch/quality/compliance risk at any scale.  MEDIUM = matters at self-serve scale or for growth.  LOW = convenience / polish.</t>
  </si>
  <si>
    <t xml:space="preserve">Source of truth</t>
  </si>
  <si>
    <t xml:space="preserve">Estimation v1.2 (394 in-scope rows) + JOBBees MVP Sprint Detail Booklet (S0 + 12 build sprints, 1 Jun–4 Dec 2026) + Master Test Plan v2.0 (481 TCs).</t>
  </si>
  <si>
    <t xml:space="preserve">Bottom line</t>
  </si>
  <si>
    <t xml:space="preserve">The booklet fully delivers the transactional core. Two funded components (Flutter Web 18 items, Next.js SEO 18 items) and the AI-operations layer (observability, eval harness, cost quotas) have no sprint and are not in the post-MVP appendix. Plus behavioural fraud scoring and two-person financial controls are absent. None block a one-suburb soft launch; all matter at self-serve scale.</t>
  </si>
  <si>
    <t xml:space="preserve">GAP REGISTER — items missing or unaccounted-for in the booklet</t>
  </si>
  <si>
    <t xml:space="preserve">Fill the three right-hand columns (shaded). Dropdown in 'Dev Decision'.</t>
  </si>
  <si>
    <t xml:space="preserve">#</t>
  </si>
  <si>
    <t xml:space="preserve">Est. ID(s)</t>
  </si>
  <si>
    <t xml:space="preserve">Item / Feature</t>
  </si>
  <si>
    <t xml:space="preserve">Component</t>
  </si>
  <si>
    <t xml:space="preserve">Est. Call</t>
  </si>
  <si>
    <t xml:space="preserve">Booklet status (architect finding)</t>
  </si>
  <si>
    <t xml:space="preserve">Severity</t>
  </si>
  <si>
    <t xml:space="preserve">Architect recommendation</t>
  </si>
  <si>
    <t xml:space="preserve">DEV DECISION ▼</t>
  </si>
  <si>
    <t xml:space="preserve">Destination (sprint / V2 / N/A)</t>
  </si>
  <si>
    <t xml:space="preserve">Dev note / justification</t>
  </si>
  <si>
    <t xml:space="preserve">SEO-01..19</t>
  </si>
  <si>
    <t xml:space="preserve">Next.js SEO public site (whole component)</t>
  </si>
  <si>
    <t xml:space="preserve">5. Next.js SEO</t>
  </si>
  <si>
    <t xml:space="preserve">IN×18</t>
  </si>
  <si>
    <t xml:space="preserve">No sprint builds it. Only 'How it works' page on public web (S11) + one mention in S11 intro. Not in post-MVP appendix.</t>
  </si>
  <si>
    <t xml:space="preserve">MEDIUM</t>
  </si>
  <si>
    <t xml:space="preserve">Confirm deferral &amp; add to appendix, OR schedule. No organic acquisition channel without it; programmatic location×category pages are a primary low-CAC growth engine.</t>
  </si>
  <si>
    <t xml:space="preserve">FW-01..18</t>
  </si>
  <si>
    <t xml:space="preserve">Flutter Web app (whole component)</t>
  </si>
  <si>
    <t xml:space="preserve">4. Flutter Web</t>
  </si>
  <si>
    <t xml:space="preserve">Mobile-only launch (TestFlight + Play S11). No web build in any sprint. Not in post-MVP appendix.</t>
  </si>
  <si>
    <t xml:space="preserve">LOW-MED</t>
  </si>
  <si>
    <t xml:space="preserve">Confirm deferral &amp; add to appendix. App-only soft launch is defensible; note cookie-consent/a11y (FW-13/14) still legally required if any web surface exists.</t>
  </si>
  <si>
    <t xml:space="preserve">AI-02</t>
  </si>
  <si>
    <t xml:space="preserve">LLM observability (Langfuse / Helicone)</t>
  </si>
  <si>
    <t xml:space="preserve">6. AI Infra</t>
  </si>
  <si>
    <t xml:space="preserve">IN</t>
  </si>
  <si>
    <t xml:space="preserve">Not mentioned in any sprint. No trace/cost visibility on AI calls.</t>
  </si>
  <si>
    <t xml:space="preserve">HIGH</t>
  </si>
  <si>
    <t xml:space="preserve">Reinstate. Without it there is no way to see prompt behaviour or cost in prod for an AI-dependent product.</t>
  </si>
  <si>
    <t xml:space="preserve">AI-03</t>
  </si>
  <si>
    <t xml:space="preserve">Prompt versioning + A/B eval harness</t>
  </si>
  <si>
    <t xml:space="preserve">Not mentioned. No eval gates on prompt changes.</t>
  </si>
  <si>
    <t xml:space="preserve">Reinstate. Test Plan AI-eval gates (locked S3-&gt;S9) CANNOT run without this; blocks safe AI iteration.</t>
  </si>
  <si>
    <t xml:space="preserve">AI-12</t>
  </si>
  <si>
    <t xml:space="preserve">AI cost quota enforcement</t>
  </si>
  <si>
    <t xml:space="preserve">Not mentioned. No per-user / org cost ceiling.</t>
  </si>
  <si>
    <t xml:space="preserve">Reinstate. Protects against cost runaway; NFR-C01 cost test depends on it.</t>
  </si>
  <si>
    <t xml:space="preserve">B-48</t>
  </si>
  <si>
    <t xml:space="preserve">Behavioural fraud scoring</t>
  </si>
  <si>
    <t xml:space="preserve">2.10 Trust&amp;Safety</t>
  </si>
  <si>
    <t xml:space="preserve">IN★</t>
  </si>
  <si>
    <t xml:space="preserve">Absent. Fraud posture = EXIF tamper-check + Azure Content Safety only. No device/velocity/graph signals.</t>
  </si>
  <si>
    <t xml:space="preserve">Reinstate or accept risk in writing. Was critical (IN★). Marketplace collusion / multi-account fraud undetected.</t>
  </si>
  <si>
    <t xml:space="preserve">AP-56</t>
  </si>
  <si>
    <t xml:space="preserve">Two-Person Approval Rule (maker-checker)</t>
  </si>
  <si>
    <t xml:space="preserve">3.14 Admin</t>
  </si>
  <si>
    <t xml:space="preserve">Absent — follows from single-admin-role decision. No four-eyes on refunds/fees.</t>
  </si>
  <si>
    <t xml:space="preserve">Confirm acceptable. Financial-controls gap: high-value refunds and fee changes have no second approver.</t>
  </si>
  <si>
    <t xml:space="preserve">AP-52</t>
  </si>
  <si>
    <t xml:space="preserve">Ad-hoc Report Builder (NL queries + export)</t>
  </si>
  <si>
    <t xml:space="preserve">3.11 Admin</t>
  </si>
  <si>
    <t xml:space="preserve">Absent. No natural-language report builder.</t>
  </si>
  <si>
    <t xml:space="preserve">LOW</t>
  </si>
  <si>
    <t xml:space="preserve">Defer acceptable. Visual reports suffice early; was IN★ but non-critical for soft launch.</t>
  </si>
  <si>
    <t xml:space="preserve">217</t>
  </si>
  <si>
    <t xml:space="preserve">Product analytics instrumentation (PostHog/Mixpanel)</t>
  </si>
  <si>
    <t xml:space="preserve">1.18 Cross-cut</t>
  </si>
  <si>
    <t xml:space="preserve">Only Azure App Insights (ops monitoring) mentioned. No product-event/funnel analytics.</t>
  </si>
  <si>
    <t xml:space="preserve">Instrument day-one. Deferred funnel/LTV/churn dashboards (appendix) will have NO historical data without events flowing now.</t>
  </si>
  <si>
    <t xml:space="preserve">AI-07</t>
  </si>
  <si>
    <t xml:space="preserve">Auto-SEO content generation per task</t>
  </si>
  <si>
    <t xml:space="preserve">Not mentioned (ties to missing SEO layer).</t>
  </si>
  <si>
    <t xml:space="preserve">Defer with SEO site. Only relevant once public pages exist.</t>
  </si>
  <si>
    <t xml:space="preserve">AI-05</t>
  </si>
  <si>
    <t xml:space="preserve">Feature store (matching + pricing ML)</t>
  </si>
  <si>
    <t xml:space="preserve">THIN</t>
  </si>
  <si>
    <t xml:space="preserve">Not mentioned. Matching works without a formal feature store.</t>
  </si>
  <si>
    <t xml:space="preserve">Defer acceptable. Embeddings + ranker function without it at MVP scale.</t>
  </si>
  <si>
    <t xml:space="preserve">194</t>
  </si>
  <si>
    <t xml:space="preserve">RAG support agent (chat)</t>
  </si>
  <si>
    <t xml:space="preserve">1.16 Support</t>
  </si>
  <si>
    <t xml:space="preserve">Support = email at MVP (stated in appendix). RAG agent deferred.</t>
  </si>
  <si>
    <t xml:space="preserve">Already deferred in appendix — confirm only. Acceptable substitution.</t>
  </si>
  <si>
    <t xml:space="preserve">B-53 / B-23</t>
  </si>
  <si>
    <t xml:space="preserve">Message moderation: LLM classifier -&gt; regex</t>
  </si>
  <si>
    <t xml:space="preserve">2.5/2.10</t>
  </si>
  <si>
    <t xml:space="preserve">Booklet uses regex off-platform detection (S5), not Gemini-Flash LLM classifier.</t>
  </si>
  <si>
    <t xml:space="preserve">Confirm intent. Regex misses coded variants ('zero four one two', unicode, 'find me on the gram'). Add evasion corpus; reframe AIE-004 as regex-coverage.</t>
  </si>
  <si>
    <t xml:space="preserve">AP-53</t>
  </si>
  <si>
    <t xml:space="preserve">Super User Dashboard: 24-tile -&gt; simpler KPI</t>
  </si>
  <si>
    <t xml:space="preserve">3.12 Admin</t>
  </si>
  <si>
    <t xml:space="preserve">Booklet = KPI overview + system-health panel (S9), simpler than 24-tile spec.</t>
  </si>
  <si>
    <t xml:space="preserve">Accept. Present in spirit; full tile set can follow.</t>
  </si>
  <si>
    <t xml:space="preserve">AP-51</t>
  </si>
  <si>
    <t xml:space="preserve">Automated reports: full suite -&gt; daily reconciliation</t>
  </si>
  <si>
    <t xml:space="preserve">Booklet details daily reconciliation; weekly/monthly not enumerated.</t>
  </si>
  <si>
    <t xml:space="preserve">Confirm weekly/monthly still in. Crons cheap to add.</t>
  </si>
  <si>
    <t xml:space="preserve">AP-04(KYC)</t>
  </si>
  <si>
    <t xml:space="preserve">KYC: manual identity review -&gt; Stripe Connect handles all</t>
  </si>
  <si>
    <t xml:space="preserve">1.2/3.2</t>
  </si>
  <si>
    <t xml:space="preserve">Identity verification fully delegated to Stripe Connect. Manual identity queue eliminated (items 21/22 gone).</t>
  </si>
  <si>
    <t xml:space="preserve">Accept (clean resolution). Verify Connect verification states correctly gate bidding/payout — now the sole identity trust-gate.</t>
  </si>
  <si>
    <t xml:space="preserve">AI-04</t>
  </si>
  <si>
    <t xml:space="preserve">Output guardrails: general validator -&gt; mediator cost-guard only</t>
  </si>
  <si>
    <t xml:space="preserve">Only mediator has explicit cost guardrails (S7). No general output-validation layer across AI surfaces.</t>
  </si>
  <si>
    <t xml:space="preserve">Reinstate validators. Extraction/vision/support outputs need schema + safety validation, not just cost caps.</t>
  </si>
  <si>
    <t xml:space="preserve">B-51</t>
  </si>
  <si>
    <t xml:space="preserve">Prompt injection defense + PII scrubbing</t>
  </si>
  <si>
    <t xml:space="preserve">2.10</t>
  </si>
  <si>
    <t xml:space="preserve">Partial — 'security review skill' + implied PII scrubbing; no explicit injection-defense feature across AI surfaces.</t>
  </si>
  <si>
    <t xml:space="preserve">Make explicit. Every AI surface (extraction, mediation, support, NL) needs injection hardening + PII scrub tests.</t>
  </si>
  <si>
    <t xml:space="preserve">206</t>
  </si>
  <si>
    <t xml:space="preserve">Deep linking (Universal/App Links)</t>
  </si>
  <si>
    <t xml:space="preserve">Implied by S11 polish + S3 share-link; not individually listed.</t>
  </si>
  <si>
    <t xml:space="preserve">Confirm built. Needed for share links + notification taps.</t>
  </si>
  <si>
    <t xml:space="preserve">216</t>
  </si>
  <si>
    <t xml:space="preserve">Crash reporting (Sentry SDK)</t>
  </si>
  <si>
    <t xml:space="preserve">App Insights mentioned (S10) for backend; client crash SDK not explicit.</t>
  </si>
  <si>
    <t xml:space="preserve">Confirm client crash capture present.</t>
  </si>
  <si>
    <t xml:space="preserve">223</t>
  </si>
  <si>
    <t xml:space="preserve">Push token rotation</t>
  </si>
  <si>
    <t xml:space="preserve">Notifications built S8; token rotation not explicit.</t>
  </si>
  <si>
    <t xml:space="preserve">Confirm handled.</t>
  </si>
  <si>
    <t xml:space="preserve">210 / 211</t>
  </si>
  <si>
    <t xml:space="preserve">Maintenance mode screen / offline indicator</t>
  </si>
  <si>
    <t xml:space="preserve">THIN/IN</t>
  </si>
  <si>
    <t xml:space="preserve">Not individually listed; 'status page (thin)' S10 only.</t>
  </si>
  <si>
    <t xml:space="preserve">Confirm or defer.</t>
  </si>
  <si>
    <t xml:space="preserve">218</t>
  </si>
  <si>
    <t xml:space="preserve">Accessibility basics (WCAG 2.1 AA) mobile</t>
  </si>
  <si>
    <t xml:space="preserve">Web a11y absent (no web); mobile a11y not explicitly called out.</t>
  </si>
  <si>
    <t xml:space="preserve">Confirm mobile a11y in scope. Compliance-adjacent.</t>
  </si>
  <si>
    <t xml:space="preserve">B-19/AP-44</t>
  </si>
  <si>
    <t xml:space="preserve">Webhook DLQ + admin replay viewer</t>
  </si>
  <si>
    <t xml:space="preserve">2.4/3.9</t>
  </si>
  <si>
    <t xml:space="preserve">Stripe webhook signature verification present (S5); explicit DLQ + admin replay viewer not enumerated.</t>
  </si>
  <si>
    <t xml:space="preserve">Confirm DLQ + replay exist. Payment reliability depends on it; PAY-020..023 tests require it.</t>
  </si>
  <si>
    <t xml:space="preserve">AP-45</t>
  </si>
  <si>
    <t xml:space="preserve">BullMQ job-queue monitor</t>
  </si>
  <si>
    <t xml:space="preserve">3.9 Admin</t>
  </si>
  <si>
    <t xml:space="preserve">Queue/cron infra implied; admin queue monitor not listed.</t>
  </si>
  <si>
    <t xml:space="preserve">M-229</t>
  </si>
  <si>
    <t xml:space="preserve">Device fingerprinting (FingerprintJS)</t>
  </si>
  <si>
    <t xml:space="preserve">1.19 Security</t>
  </si>
  <si>
    <t xml:space="preserve">Not mentioned; relevant to fraud signals (which are also thin).</t>
  </si>
  <si>
    <t xml:space="preserve">Confirm. Ties to fraud-scoring gap B-48.</t>
  </si>
  <si>
    <t xml:space="preserve">AP-46/52(audit)</t>
  </si>
  <si>
    <t xml:space="preserve">Immutable audit log + audit viewer</t>
  </si>
  <si>
    <t xml:space="preserve">2.10/3.9</t>
  </si>
  <si>
    <t xml:space="preserve">Audit log present S1; immutability + viewer good. Confirm append-only enforced at DB.</t>
  </si>
  <si>
    <t xml:space="preserve">Confirm immutability (no UPDATE/DELETE as app role). ADM-052 test asserts this.</t>
  </si>
  <si>
    <t xml:space="preserve">B-58</t>
  </si>
  <si>
    <t xml:space="preserve">Data retention enforcement (all classes)</t>
  </si>
  <si>
    <t xml:space="preserve">Anonymisation 'within retention rules' (S8). Confirm per-class crons (financial 7y, threads 7y, analytics 2y).</t>
  </si>
  <si>
    <t xml:space="preserve">Confirm per-class retention, not just account deletion.</t>
  </si>
  <si>
    <t xml:space="preserve">COVERAGE MAP — all estimate sections vs booklet</t>
  </si>
  <si>
    <t xml:space="preserve">Estimate component / section</t>
  </si>
  <si>
    <t xml:space="preserve">In-scope items</t>
  </si>
  <si>
    <t xml:space="preserve">Booklet sprint(s)</t>
  </si>
  <si>
    <t xml:space="preserve">Coverage</t>
  </si>
  <si>
    <t xml:space="preserve">Notes</t>
  </si>
  <si>
    <t xml:space="preserve">1.1 Onboarding &amp; Auth</t>
  </si>
  <si>
    <t xml:space="preserve">S1 (BE) + S2 (mobile)</t>
  </si>
  <si>
    <t xml:space="preserve">FULL</t>
  </si>
  <si>
    <t xml:space="preserve">Email/Google/Apple + tasker OTP. 4 roles only.</t>
  </si>
  <si>
    <t xml:space="preserve">1.2 KYC / Identity</t>
  </si>
  <si>
    <t xml:space="preserve">S2</t>
  </si>
  <si>
    <t xml:space="preserve">CHANGED</t>
  </si>
  <si>
    <t xml:space="preserve">Stripe Connect handles all identity; no manual ID queue.</t>
  </si>
  <si>
    <t xml:space="preserve">1.3 Profile — Poster</t>
  </si>
  <si>
    <t xml:space="preserve">1.4 Profile — Tasker</t>
  </si>
  <si>
    <t xml:space="preserve">Portfolio/reviews populate S4+S7.</t>
  </si>
  <si>
    <t xml:space="preserve">1.5 Task Posting</t>
  </si>
  <si>
    <t xml:space="preserve">S3</t>
  </si>
  <si>
    <t xml:space="preserve">Text+photo+voice+camera+guest mode.</t>
  </si>
  <si>
    <t xml:space="preserve">1.6 Task Discovery</t>
  </si>
  <si>
    <t xml:space="preserve">S4</t>
  </si>
  <si>
    <t xml:space="preserve">Ranked feed + map + filters.</t>
  </si>
  <si>
    <t xml:space="preserve">1.7 Bidding</t>
  </si>
  <si>
    <t xml:space="preserve">Incl. licence guard + Builder rule + public Q&amp;A.</t>
  </si>
  <si>
    <t xml:space="preserve">1.8 Job Execution</t>
  </si>
  <si>
    <t xml:space="preserve">S6</t>
  </si>
  <si>
    <t xml:space="preserve">Check-in, completion proof, live location.</t>
  </si>
  <si>
    <t xml:space="preserve">1.9 Messaging</t>
  </si>
  <si>
    <t xml:space="preserve">S5</t>
  </si>
  <si>
    <t xml:space="preserve">Single-node Socket.IO; regex moderation not LLM.</t>
  </si>
  <si>
    <t xml:space="preserve">1.10 Payments</t>
  </si>
  <si>
    <t xml:space="preserve">Mode1+Mode2; Apple/Google Pay.</t>
  </si>
  <si>
    <t xml:space="preserve">1.11 Cancellation</t>
  </si>
  <si>
    <t xml:space="preserve">Fee matrix.</t>
  </si>
  <si>
    <t xml:space="preserve">1.12 Reviews</t>
  </si>
  <si>
    <t xml:space="preserve">S7</t>
  </si>
  <si>
    <t xml:space="preserve">PARTIAL</t>
  </si>
  <si>
    <t xml:space="preserve">Blind reveal yes; AI authenticity scoring absent.</t>
  </si>
  <si>
    <t xml:space="preserve">1.13 Disputes</t>
  </si>
  <si>
    <t xml:space="preserve">Tier-0 Claude Sonnet mediator + admin brief.</t>
  </si>
  <si>
    <t xml:space="preserve">1.14 Notifications</t>
  </si>
  <si>
    <t xml:space="preserve">S8</t>
  </si>
  <si>
    <t xml:space="preserve">Push/email/SMS, Spam Act, fallback.</t>
  </si>
  <si>
    <t xml:space="preserve">1.15 Settings</t>
  </si>
  <si>
    <t xml:space="preserve">DSR, deletion, prefs.</t>
  </si>
  <si>
    <t xml:space="preserve">S? / email</t>
  </si>
  <si>
    <t xml:space="preserve">FAQ ok; RAG agent -&gt; email at MVP (deferred).</t>
  </si>
  <si>
    <t xml:space="preserve">1.17 Static / Legal</t>
  </si>
  <si>
    <t xml:space="preserve">S11</t>
  </si>
  <si>
    <t xml:space="preserve">Lawyer review S11.</t>
  </si>
  <si>
    <t xml:space="preserve">1.18 Cross-cutting</t>
  </si>
  <si>
    <t xml:space="preserve">S10-S11</t>
  </si>
  <si>
    <t xml:space="preserve">Polish ok; analytics(217), some items unenumerated.</t>
  </si>
  <si>
    <t xml:space="preserve">1.19 Security &amp; Trust Extras</t>
  </si>
  <si>
    <t xml:space="preserve">S1-S2</t>
  </si>
  <si>
    <t xml:space="preserve">Consent/lockout ok; device fingerprint(M-229) unclear.</t>
  </si>
  <si>
    <t xml:space="preserve">2.1 Auth &amp; Users (BE)</t>
  </si>
  <si>
    <t xml:space="preserve">S1</t>
  </si>
  <si>
    <t xml:space="preserve">NestJS, JWT rotation, RBAC, audit.</t>
  </si>
  <si>
    <t xml:space="preserve">2.2 Tasks &amp; Extraction (BE)</t>
  </si>
  <si>
    <t xml:space="preserve">Gemini Flash JSON + ReAct + vision.</t>
  </si>
  <si>
    <t xml:space="preserve">2.3 Matching Engine</t>
  </si>
  <si>
    <t xml:space="preserve">pgvector kNN + ranker + auto-invite.</t>
  </si>
  <si>
    <t xml:space="preserve">2.4 Payments (BE)</t>
  </si>
  <si>
    <t xml:space="preserve">Core ok; confirm explicit DLQ + replay (B-19/AP-44).</t>
  </si>
  <si>
    <t xml:space="preserve">2.5 Messaging (BE)</t>
  </si>
  <si>
    <t xml:space="preserve">Single-node; regex detection.</t>
  </si>
  <si>
    <t xml:space="preserve">2.6 Disputes (BE)</t>
  </si>
  <si>
    <t xml:space="preserve">State machine + mediator + brief.</t>
  </si>
  <si>
    <t xml:space="preserve">2.7 Notifications (BE)</t>
  </si>
  <si>
    <t xml:space="preserve">2.8 Reviews (BE)</t>
  </si>
  <si>
    <t xml:space="preserve">Blind/reveal ok; authenticity scoring(B-41) absent.</t>
  </si>
  <si>
    <t xml:space="preserve">2.9 File Storage &amp; Media</t>
  </si>
  <si>
    <t xml:space="preserve">S3-&gt;S10</t>
  </si>
  <si>
    <t xml:space="preserve">Local FS at MVP -&gt; Azure Blob S10 (migration risk).</t>
  </si>
  <si>
    <t xml:space="preserve">2.10 Trust &amp; Safety</t>
  </si>
  <si>
    <t xml:space="preserve">S1/S5/S8</t>
  </si>
  <si>
    <t xml:space="preserve">Rate-limit/audit/retention ok; FRAUD SCORING(B-48) absent; moderation regex.</t>
  </si>
  <si>
    <t xml:space="preserve">3.1 User Management (Admin)</t>
  </si>
  <si>
    <t xml:space="preserve">S9</t>
  </si>
  <si>
    <t xml:space="preserve">Single admin role.</t>
  </si>
  <si>
    <t xml:space="preserve">3.2 Verification Queue</t>
  </si>
  <si>
    <t xml:space="preserve">S4-&gt;S9</t>
  </si>
  <si>
    <t xml:space="preserve">Trade-licence review (not identity).</t>
  </si>
  <si>
    <t xml:space="preserve">3.3 Job &amp; Booking Mgmt</t>
  </si>
  <si>
    <t xml:space="preserve">Force-cancel, manual capture/void, overrides.</t>
  </si>
  <si>
    <t xml:space="preserve">3.4 Financial &amp; Payout</t>
  </si>
  <si>
    <t xml:space="preserve">Payout tracking, refund, held-funds.</t>
  </si>
  <si>
    <t xml:space="preserve">3.5 Disputes (Admin)</t>
  </si>
  <si>
    <t xml:space="preserve">Mediation interface + evidence viewer.</t>
  </si>
  <si>
    <t xml:space="preserve">3.6 Review Moderation</t>
  </si>
  <si>
    <t xml:space="preserve">Manual removal.</t>
  </si>
  <si>
    <t xml:space="preserve">3.7 Content &amp; Config</t>
  </si>
  <si>
    <t xml:space="preserve">Category/area CRUD, fee/tax config, flags.</t>
  </si>
  <si>
    <t xml:space="preserve">3.8 Analytics Dashboard</t>
  </si>
  <si>
    <t xml:space="preserve">KPI overview; deep funnel/cohort deferred.</t>
  </si>
  <si>
    <t xml:space="preserve">3.9 System / DevOps (Admin)</t>
  </si>
  <si>
    <t xml:space="preserve">S9-S10</t>
  </si>
  <si>
    <t xml:space="preserve">Webhook log yes; BullMQ monitor(AP-45) unclear.</t>
  </si>
  <si>
    <t xml:space="preserve">3.11 Reporting &amp; Analytics</t>
  </si>
  <si>
    <t xml:space="preserve">Daily reconciliation; NL builder(AP-52) absent.</t>
  </si>
  <si>
    <t xml:space="preserve">3.12 Super User Dashboard</t>
  </si>
  <si>
    <t xml:space="preserve">Simpler KPI panel vs 24-tile.</t>
  </si>
  <si>
    <t xml:space="preserve">3.14 Two-Person Approval</t>
  </si>
  <si>
    <t xml:space="preserve">—</t>
  </si>
  <si>
    <t xml:space="preserve">MISSING</t>
  </si>
  <si>
    <t xml:space="preserve">No maker-checker (single admin role).</t>
  </si>
  <si>
    <t xml:space="preserve">No web build in any sprint.</t>
  </si>
  <si>
    <t xml:space="preserve">No public SEO site in any sprint.</t>
  </si>
  <si>
    <t xml:space="preserve">6.1 LLM Routing &amp; Observability</t>
  </si>
  <si>
    <t xml:space="preserve">S3/S9</t>
  </si>
  <si>
    <t xml:space="preserve">Router/provider-config ok; OBSERVABILITY+EVAL+QUOTA absent.</t>
  </si>
  <si>
    <t xml:space="preserve">6.2 ML Models &amp; Feature Store</t>
  </si>
  <si>
    <t xml:space="preserve">Feature store + auto-SEO absent.</t>
  </si>
  <si>
    <t xml:space="preserve">7.1 CI/CD &amp; Environments</t>
  </si>
  <si>
    <t xml:space="preserve">S0/S10</t>
  </si>
  <si>
    <t xml:space="preserve">GitHub Actions, staging/prod, migrations.</t>
  </si>
  <si>
    <t xml:space="preserve">7.2 Reliability &amp; Observability</t>
  </si>
  <si>
    <t xml:space="preserve">S10</t>
  </si>
  <si>
    <t xml:space="preserve">App Insights/backups ok; confirm SLA alerting + log PII redaction.</t>
  </si>
  <si>
    <t xml:space="preserve">Components fully missing: Flutter Web (18) + Next.js SEO (18) + Feature Store/Auto-SEO (2) + Two-Person (1) = 39 items</t>
  </si>
  <si>
    <t xml:space="preserve">CHANGED ITEMS — built differently than estimated</t>
  </si>
  <si>
    <t xml:space="preserve">Area</t>
  </si>
  <si>
    <t xml:space="preserve">Blueprint / Estimate said</t>
  </si>
  <si>
    <t xml:space="preserve">Booklet builds</t>
  </si>
  <si>
    <t xml:space="preserve">Why it matters</t>
  </si>
  <si>
    <t xml:space="preserve">Confirm?</t>
  </si>
  <si>
    <t xml:space="preserve">Admin roles</t>
  </si>
  <si>
    <t xml:space="preserve">L1–L7 + Superadmin hierarchy</t>
  </si>
  <si>
    <t xml:space="preserve">Single admin role (super-admin post-MVP)</t>
  </si>
  <si>
    <t xml:space="preserve">Simplifies RBAC; removes two-person rule basis. Test AUTH-032 collapses to single-vs-super boundary.</t>
  </si>
  <si>
    <t xml:space="preserve">KYC / identity</t>
  </si>
  <si>
    <t xml:space="preserve">Manual doc review queue + items 21/22</t>
  </si>
  <si>
    <t xml:space="preserve">Stripe Connect handles all identity</t>
  </si>
  <si>
    <t xml:space="preserve">Cleanest resolution; eliminates manual queue + CMK docs. Connect states become sole trust-gate.</t>
  </si>
  <si>
    <t xml:space="preserve">Moderation</t>
  </si>
  <si>
    <t xml:space="preserve">Gemini-Flash LLM classifier</t>
  </si>
  <si>
    <t xml:space="preserve">Regex off-platform detection</t>
  </si>
  <si>
    <t xml:space="preserve">Regex misses coded/unicode variants; harder to get right. Reframe AIE-004 as regex-coverage + evasion corpus.</t>
  </si>
  <si>
    <t xml:space="preserve">Messaging scale</t>
  </si>
  <si>
    <t xml:space="preserve">Socket.IO + Redis adapter (multi-node)</t>
  </si>
  <si>
    <t xml:space="preserve">Single-node Socket.IO</t>
  </si>
  <si>
    <t xml:space="preserve">Won't horizontally scale; MSG-017 multi-instance test N/A. Document scaling limit.</t>
  </si>
  <si>
    <t xml:space="preserve">Edge / cloud</t>
  </si>
  <si>
    <t xml:space="preserve">Azure Front Door + WAF + APIM</t>
  </si>
  <si>
    <t xml:space="preserve">Cloudflare Pro WAF</t>
  </si>
  <si>
    <t xml:space="preserve">Different edge stack; WAF/DDoS/bot covered. APIM gateway features absent.</t>
  </si>
  <si>
    <t xml:space="preserve">File storage</t>
  </si>
  <si>
    <t xml:space="preserve">Azure Blob from start</t>
  </si>
  <si>
    <t xml:space="preserve">Local filesystem -&gt; Blob at S10</t>
  </si>
  <si>
    <t xml:space="preserve">Migration-integrity risk at S10; no sensitive data should sit on local disk interim.</t>
  </si>
  <si>
    <t xml:space="preserve">Config engine</t>
  </si>
  <si>
    <t xml:space="preserve">Versioned, approval-gated platform</t>
  </si>
  <si>
    <t xml:space="preserve">Flat admin-editable settings (audited)</t>
  </si>
  <si>
    <t xml:space="preserve">Live + audited but no version history / approval gate. ADM-034 depth reduced.</t>
  </si>
  <si>
    <t xml:space="preserve">Pen test</t>
  </si>
  <si>
    <t xml:space="preserve">Pre-launch (Sprint 13)</t>
  </si>
  <si>
    <t xml:space="preserve">Within 60 days POST-launch</t>
  </si>
  <si>
    <t xml:space="preserve">HIGHEST RISK: real money + PII flow before adversarial security validation. Recommend scoped pre-launch test of payment+auth+PII.</t>
  </si>
  <si>
    <t xml:space="preserve">Super dashboard</t>
  </si>
  <si>
    <t xml:space="preserve">24-tile REST refresh</t>
  </si>
  <si>
    <t xml:space="preserve">KPI overview + health panel</t>
  </si>
  <si>
    <t xml:space="preserve">Present in spirit; full tile set can follow.</t>
  </si>
  <si>
    <t xml:space="preserve">Support</t>
  </si>
  <si>
    <t xml:space="preserve">RAG agent (in-app chat)</t>
  </si>
  <si>
    <t xml:space="preserve">Email at MVP</t>
  </si>
  <si>
    <t xml:space="preserve">Stated deferral; acceptable.</t>
  </si>
  <si>
    <t xml:space="preserve">Review authenticity</t>
  </si>
  <si>
    <t xml:space="preserve">AI authenticity scoring (B-41)</t>
  </si>
  <si>
    <t xml:space="preserve">Manual review removal only</t>
  </si>
  <si>
    <t xml:space="preserve">No automated fake-review detection; relies on reports + manual queue.</t>
  </si>
  <si>
    <t xml:space="preserve">TEST IMPACT — how each gap re-points the Master Test Plan v2.0</t>
  </si>
  <si>
    <t xml:space="preserve">Gap / change</t>
  </si>
  <si>
    <t xml:space="preserve">Test families affected</t>
  </si>
  <si>
    <t xml:space="preserve">Action on test suite</t>
  </si>
  <si>
    <t xml:space="preserve">Stripe-handled KYC</t>
  </si>
  <si>
    <t xml:space="preserve">TC-KYC-003..019</t>
  </si>
  <si>
    <t xml:space="preserve">RETIRE manual-ID, selfie, officer-decision, CMK, PCC-purge, doc-access TCs (mark N/A). KEEP ABN (AUTH-037..039) + Connect-state gating (PAY-026..029).</t>
  </si>
  <si>
    <t xml:space="preserve">Single admin role</t>
  </si>
  <si>
    <t xml:space="preserve">TC-AUTH-032, TC-ADM-050/051</t>
  </si>
  <si>
    <t xml:space="preserve">Collapse L1–L7 RBAC matrix to single-vs-super. RETIRE two-person TCs unless reinstated.</t>
  </si>
  <si>
    <t xml:space="preserve">Regex moderation</t>
  </si>
  <si>
    <t xml:space="preserve">TC-MSG-004, TC-BID-003, AIE-004</t>
  </si>
  <si>
    <t xml:space="preserve">Reframe from LLM precision/recall to regex-coverage + add coded/unicode EVASION CORPUS.</t>
  </si>
  <si>
    <t xml:space="preserve">TC-MSG-017</t>
  </si>
  <si>
    <t xml:space="preserve">Mark multi-instance routing N/A; add single-node load-ceiling test + documented limit.</t>
  </si>
  <si>
    <t xml:space="preserve">Local-&gt;Blob storage</t>
  </si>
  <si>
    <t xml:space="preserve">(new)</t>
  </si>
  <si>
    <t xml:space="preserve">ADD S10 migration-integrity test; assert no sensitive data on local disk interim.</t>
  </si>
  <si>
    <t xml:space="preserve">AI obs/eval/quota absent</t>
  </si>
  <si>
    <t xml:space="preserve">AIE-001..010, NFR-C01</t>
  </si>
  <si>
    <t xml:space="preserve">BLOCKER: AI-eval gates cannot run without AI-03 harness + AI-02 traces. Reinstate or these tests are unexecutable.</t>
  </si>
  <si>
    <t xml:space="preserve">Fraud scoring absent</t>
  </si>
  <si>
    <t xml:space="preserve">TC-TS-001/002, TC-JOB-004</t>
  </si>
  <si>
    <t xml:space="preserve">Reduce to EXIF + content-safety assertions; mark velocity/device/graph TCs N/A unless B-48 reinstated.</t>
  </si>
  <si>
    <t xml:space="preserve">Review authenticity absent</t>
  </si>
  <si>
    <t xml:space="preserve">TC-REV-006/007, AIE-008</t>
  </si>
  <si>
    <t xml:space="preserve">Mark authenticity-scoring TCs N/A; keep manual-removal moderation (AP-28) tests.</t>
  </si>
  <si>
    <t xml:space="preserve">Flutter Web missing</t>
  </si>
  <si>
    <t xml:space="preserve">TC-WEB-001..014</t>
  </si>
  <si>
    <t xml:space="preserve">Mark whole TC-WEB family N/A (parked) unless web reinstated.</t>
  </si>
  <si>
    <t xml:space="preserve">Next.js SEO missing</t>
  </si>
  <si>
    <t xml:space="preserve">TC-SEO-T01..T12</t>
  </si>
  <si>
    <t xml:space="preserve">Mark whole TC-SEO family N/A (parked) unless SEO reinstated.</t>
  </si>
  <si>
    <t xml:space="preserve">Pen test post-launch</t>
  </si>
  <si>
    <t xml:space="preserve">TC-NFR-S01..S12</t>
  </si>
  <si>
    <t xml:space="preserve">Re-time security suite. Recommend scoped pre-launch pen test of payment+auth+PII; full suite post-launch.</t>
  </si>
  <si>
    <t xml:space="preserve">13-sprint calendar</t>
  </si>
  <si>
    <t xml:space="preserve">Execution Overlay</t>
  </si>
  <si>
    <t xml:space="preserve">Re-point all surviving TC-IDs onto S0–S12; fold testing into each Friday demo (no dedicated test sprints).</t>
  </si>
  <si>
    <t xml:space="preserve">SCOPE RECONCILIATION — SIGN-OFF</t>
  </si>
  <si>
    <t xml:space="preserve">To be completed after the GAP REGISTER is filled and reviewed.</t>
  </si>
  <si>
    <t xml:space="preserve">Decision summary (auto-tally once GAP REGISTER filled)</t>
  </si>
  <si>
    <t xml:space="preserve">Items reviewed</t>
  </si>
  <si>
    <t xml:space="preserve">Marked DEFERRED</t>
  </si>
  <si>
    <t xml:space="preserve">Marked DROPPED</t>
  </si>
  <si>
    <t xml:space="preserve">Marked COVERED</t>
  </si>
  <si>
    <t xml:space="preserve">Marked WILL-ADD</t>
  </si>
  <si>
    <t xml:space="preserve">Marked CONFIRM-BUILT</t>
  </si>
  <si>
    <t xml:space="preserve">Still TBD / blank</t>
  </si>
  <si>
    <t xml:space="preserve">HIGH-severity gaps must be DEFERRED-with-appendix or WILL-ADD before MVP sign-off:</t>
  </si>
  <si>
    <t xml:space="preserve">•  AI-02 LLM observability</t>
  </si>
  <si>
    <t xml:space="preserve">•  AI-03 prompt versioning + eval harness</t>
  </si>
  <si>
    <t xml:space="preserve">•  AI-12 cost quota</t>
  </si>
  <si>
    <t xml:space="preserve">•  B-48 behavioural fraud scoring</t>
  </si>
  <si>
    <t xml:space="preserve">•  Pen-test timing (CHANGED tab)</t>
  </si>
  <si>
    <t xml:space="preserve">Acceptance</t>
  </si>
  <si>
    <t xml:space="preserve">Role</t>
  </si>
  <si>
    <t xml:space="preserve">Name</t>
  </si>
  <si>
    <t xml:space="preserve">Decision (Accept / Revise)</t>
  </si>
  <si>
    <t xml:space="preserve">Date</t>
  </si>
  <si>
    <t xml:space="preserve">Founder / Product Owner (Saiju)</t>
  </si>
  <si>
    <t xml:space="preserve">Lead Developer</t>
  </si>
  <si>
    <t xml:space="preserve">AI Solution Architect</t>
  </si>
  <si>
    <t xml:space="preserve">Compliance (tax/privacy)</t>
  </si>
  <si>
    <t xml:space="preserve">Once signed: update booklet post-MVP appendix with all DEFERRED/DROPPED items, and update Estimation v1.2 to remove them from MVP totals so all three artifacts agree.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</si>
</sst>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i val="true"/>
      <sz val="11"/>
      <color rgb="FFE8703A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E699"/>
        <bgColor rgb="FFF8CBAD"/>
      </patternFill>
    </fill>
    <fill>
      <patternFill patternType="solid">
        <fgColor rgb="FFBDD7EE"/>
        <bgColor rgb="FFC6E0B4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8703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5.05" hidden="false" customHeight="false" outlineLevel="0" collapsed="false">
      <c r="B5" s="3" t="s">
        <v>2</v>
      </c>
      <c r="C5" s="4" t="s">
        <v>3</v>
      </c>
    </row>
    <row r="7" customFormat="false" ht="42" hidden="false" customHeight="true" outlineLevel="0" collapsed="false">
      <c r="B7" s="5" t="s">
        <v>4</v>
      </c>
      <c r="C7" s="4" t="s">
        <v>5</v>
      </c>
    </row>
    <row r="8" customFormat="false" ht="42" hidden="false" customHeight="true" outlineLevel="0" collapsed="false">
      <c r="B8" s="5" t="s">
        <v>6</v>
      </c>
      <c r="C8" s="4" t="s">
        <v>7</v>
      </c>
    </row>
    <row r="9" customFormat="false" ht="42" hidden="false" customHeight="true" outlineLevel="0" collapsed="false">
      <c r="B9" s="5" t="s">
        <v>8</v>
      </c>
      <c r="C9" s="4" t="s">
        <v>9</v>
      </c>
    </row>
    <row r="10" customFormat="false" ht="42" hidden="false" customHeight="true" outlineLevel="0" collapsed="false">
      <c r="B10" s="5" t="s">
        <v>10</v>
      </c>
      <c r="C10" s="4" t="s">
        <v>11</v>
      </c>
    </row>
    <row r="11" customFormat="false" ht="42" hidden="false" customHeight="true" outlineLevel="0" collapsed="false">
      <c r="B11" s="5" t="s">
        <v>12</v>
      </c>
      <c r="C11" s="4" t="s">
        <v>13</v>
      </c>
    </row>
    <row r="13" customFormat="false" ht="60" hidden="false" customHeight="true" outlineLevel="0" collapsed="false">
      <c r="B13" s="3" t="s">
        <v>14</v>
      </c>
      <c r="C13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42"/>
    <col collapsed="false" customWidth="true" hidden="false" outlineLevel="0" max="7" min="7" style="0" width="9"/>
    <col collapsed="false" customWidth="true" hidden="false" outlineLevel="0" max="8" min="8" style="0" width="38"/>
    <col collapsed="false" customWidth="true" hidden="false" outlineLevel="0" max="9" min="9" style="0" width="16"/>
    <col collapsed="false" customWidth="true" hidden="false" outlineLevel="0" max="10" min="10" style="0" width="22"/>
    <col collapsed="false" customWidth="true" hidden="false" outlineLevel="0" max="11" min="11" style="0" width="34"/>
  </cols>
  <sheetData>
    <row r="1" customFormat="false" ht="16.15" hidden="false" customHeight="false" outlineLevel="0" collapsed="false">
      <c r="A1" s="6" t="s">
        <v>16</v>
      </c>
    </row>
    <row r="2" customFormat="false" ht="15" hidden="false" customHeight="false" outlineLevel="0" collapsed="false">
      <c r="A2" s="7" t="s">
        <v>17</v>
      </c>
    </row>
    <row r="3" customFormat="false" ht="30" hidden="false" customHeight="true" outlineLevel="0" collapsed="false">
      <c r="A3" s="8" t="s">
        <v>18</v>
      </c>
      <c r="B3" s="8" t="s">
        <v>19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27</v>
      </c>
      <c r="K3" s="8" t="s">
        <v>28</v>
      </c>
    </row>
    <row r="4" customFormat="false" ht="54" hidden="false" customHeight="true" outlineLevel="0" collapsed="false">
      <c r="A4" s="9" t="n">
        <v>1</v>
      </c>
      <c r="B4" s="10" t="s">
        <v>29</v>
      </c>
      <c r="C4" s="11" t="s">
        <v>30</v>
      </c>
      <c r="D4" s="10" t="s">
        <v>31</v>
      </c>
      <c r="E4" s="12" t="s">
        <v>32</v>
      </c>
      <c r="F4" s="10" t="s">
        <v>33</v>
      </c>
      <c r="G4" s="13" t="s">
        <v>34</v>
      </c>
      <c r="H4" s="10" t="s">
        <v>35</v>
      </c>
      <c r="I4" s="14"/>
      <c r="J4" s="14"/>
      <c r="K4" s="14"/>
    </row>
    <row r="5" customFormat="false" ht="54" hidden="false" customHeight="true" outlineLevel="0" collapsed="false">
      <c r="A5" s="9" t="n">
        <v>2</v>
      </c>
      <c r="B5" s="10" t="s">
        <v>36</v>
      </c>
      <c r="C5" s="11" t="s">
        <v>37</v>
      </c>
      <c r="D5" s="10" t="s">
        <v>38</v>
      </c>
      <c r="E5" s="12" t="s">
        <v>32</v>
      </c>
      <c r="F5" s="10" t="s">
        <v>39</v>
      </c>
      <c r="G5" s="13" t="s">
        <v>40</v>
      </c>
      <c r="H5" s="10" t="s">
        <v>41</v>
      </c>
      <c r="I5" s="14"/>
      <c r="J5" s="14"/>
      <c r="K5" s="14"/>
    </row>
    <row r="6" customFormat="false" ht="54" hidden="false" customHeight="true" outlineLevel="0" collapsed="false">
      <c r="A6" s="9" t="n">
        <v>3</v>
      </c>
      <c r="B6" s="10" t="s">
        <v>42</v>
      </c>
      <c r="C6" s="11" t="s">
        <v>43</v>
      </c>
      <c r="D6" s="10" t="s">
        <v>44</v>
      </c>
      <c r="E6" s="12" t="s">
        <v>45</v>
      </c>
      <c r="F6" s="10" t="s">
        <v>46</v>
      </c>
      <c r="G6" s="15" t="s">
        <v>47</v>
      </c>
      <c r="H6" s="10" t="s">
        <v>48</v>
      </c>
      <c r="I6" s="14"/>
      <c r="J6" s="14"/>
      <c r="K6" s="14"/>
    </row>
    <row r="7" customFormat="false" ht="54" hidden="false" customHeight="true" outlineLevel="0" collapsed="false">
      <c r="A7" s="9" t="n">
        <v>4</v>
      </c>
      <c r="B7" s="10" t="s">
        <v>49</v>
      </c>
      <c r="C7" s="11" t="s">
        <v>50</v>
      </c>
      <c r="D7" s="10" t="s">
        <v>44</v>
      </c>
      <c r="E7" s="12" t="s">
        <v>45</v>
      </c>
      <c r="F7" s="10" t="s">
        <v>51</v>
      </c>
      <c r="G7" s="15" t="s">
        <v>47</v>
      </c>
      <c r="H7" s="10" t="s">
        <v>52</v>
      </c>
      <c r="I7" s="14"/>
      <c r="J7" s="14"/>
      <c r="K7" s="14"/>
    </row>
    <row r="8" customFormat="false" ht="54" hidden="false" customHeight="true" outlineLevel="0" collapsed="false">
      <c r="A8" s="9" t="n">
        <v>5</v>
      </c>
      <c r="B8" s="10" t="s">
        <v>53</v>
      </c>
      <c r="C8" s="11" t="s">
        <v>54</v>
      </c>
      <c r="D8" s="10" t="s">
        <v>44</v>
      </c>
      <c r="E8" s="12" t="s">
        <v>45</v>
      </c>
      <c r="F8" s="10" t="s">
        <v>55</v>
      </c>
      <c r="G8" s="15" t="s">
        <v>47</v>
      </c>
      <c r="H8" s="10" t="s">
        <v>56</v>
      </c>
      <c r="I8" s="14"/>
      <c r="J8" s="14"/>
      <c r="K8" s="14"/>
    </row>
    <row r="9" customFormat="false" ht="54" hidden="false" customHeight="true" outlineLevel="0" collapsed="false">
      <c r="A9" s="9" t="n">
        <v>6</v>
      </c>
      <c r="B9" s="10" t="s">
        <v>57</v>
      </c>
      <c r="C9" s="11" t="s">
        <v>58</v>
      </c>
      <c r="D9" s="10" t="s">
        <v>59</v>
      </c>
      <c r="E9" s="12" t="s">
        <v>60</v>
      </c>
      <c r="F9" s="10" t="s">
        <v>61</v>
      </c>
      <c r="G9" s="15" t="s">
        <v>47</v>
      </c>
      <c r="H9" s="10" t="s">
        <v>62</v>
      </c>
      <c r="I9" s="14"/>
      <c r="J9" s="14"/>
      <c r="K9" s="14"/>
    </row>
    <row r="10" customFormat="false" ht="54" hidden="false" customHeight="true" outlineLevel="0" collapsed="false">
      <c r="A10" s="9" t="n">
        <v>7</v>
      </c>
      <c r="B10" s="10" t="s">
        <v>63</v>
      </c>
      <c r="C10" s="11" t="s">
        <v>64</v>
      </c>
      <c r="D10" s="10" t="s">
        <v>65</v>
      </c>
      <c r="E10" s="12" t="s">
        <v>45</v>
      </c>
      <c r="F10" s="10" t="s">
        <v>66</v>
      </c>
      <c r="G10" s="13" t="s">
        <v>34</v>
      </c>
      <c r="H10" s="10" t="s">
        <v>67</v>
      </c>
      <c r="I10" s="14"/>
      <c r="J10" s="14"/>
      <c r="K10" s="14"/>
    </row>
    <row r="11" customFormat="false" ht="54" hidden="false" customHeight="true" outlineLevel="0" collapsed="false">
      <c r="A11" s="9" t="n">
        <v>8</v>
      </c>
      <c r="B11" s="10" t="s">
        <v>68</v>
      </c>
      <c r="C11" s="11" t="s">
        <v>69</v>
      </c>
      <c r="D11" s="10" t="s">
        <v>70</v>
      </c>
      <c r="E11" s="12" t="s">
        <v>60</v>
      </c>
      <c r="F11" s="10" t="s">
        <v>71</v>
      </c>
      <c r="G11" s="16" t="s">
        <v>72</v>
      </c>
      <c r="H11" s="10" t="s">
        <v>73</v>
      </c>
      <c r="I11" s="14"/>
      <c r="J11" s="14"/>
      <c r="K11" s="14"/>
    </row>
    <row r="12" customFormat="false" ht="54" hidden="false" customHeight="true" outlineLevel="0" collapsed="false">
      <c r="A12" s="9" t="n">
        <v>9</v>
      </c>
      <c r="B12" s="10" t="s">
        <v>74</v>
      </c>
      <c r="C12" s="11" t="s">
        <v>75</v>
      </c>
      <c r="D12" s="10" t="s">
        <v>76</v>
      </c>
      <c r="E12" s="12" t="s">
        <v>45</v>
      </c>
      <c r="F12" s="10" t="s">
        <v>77</v>
      </c>
      <c r="G12" s="13" t="s">
        <v>34</v>
      </c>
      <c r="H12" s="10" t="s">
        <v>78</v>
      </c>
      <c r="I12" s="14"/>
      <c r="J12" s="14"/>
      <c r="K12" s="14"/>
    </row>
    <row r="13" customFormat="false" ht="54" hidden="false" customHeight="true" outlineLevel="0" collapsed="false">
      <c r="A13" s="9" t="n">
        <v>10</v>
      </c>
      <c r="B13" s="10" t="s">
        <v>79</v>
      </c>
      <c r="C13" s="11" t="s">
        <v>80</v>
      </c>
      <c r="D13" s="10" t="s">
        <v>44</v>
      </c>
      <c r="E13" s="12" t="s">
        <v>45</v>
      </c>
      <c r="F13" s="10" t="s">
        <v>81</v>
      </c>
      <c r="G13" s="16" t="s">
        <v>72</v>
      </c>
      <c r="H13" s="10" t="s">
        <v>82</v>
      </c>
      <c r="I13" s="14"/>
      <c r="J13" s="14"/>
      <c r="K13" s="14"/>
    </row>
    <row r="14" customFormat="false" ht="54" hidden="false" customHeight="true" outlineLevel="0" collapsed="false">
      <c r="A14" s="9" t="n">
        <v>11</v>
      </c>
      <c r="B14" s="10" t="s">
        <v>83</v>
      </c>
      <c r="C14" s="11" t="s">
        <v>84</v>
      </c>
      <c r="D14" s="10" t="s">
        <v>44</v>
      </c>
      <c r="E14" s="12" t="s">
        <v>85</v>
      </c>
      <c r="F14" s="10" t="s">
        <v>86</v>
      </c>
      <c r="G14" s="16" t="s">
        <v>72</v>
      </c>
      <c r="H14" s="10" t="s">
        <v>87</v>
      </c>
      <c r="I14" s="14"/>
      <c r="J14" s="14"/>
      <c r="K14" s="14"/>
    </row>
    <row r="15" customFormat="false" ht="54" hidden="false" customHeight="true" outlineLevel="0" collapsed="false">
      <c r="A15" s="9" t="n">
        <v>12</v>
      </c>
      <c r="B15" s="10" t="s">
        <v>88</v>
      </c>
      <c r="C15" s="11" t="s">
        <v>89</v>
      </c>
      <c r="D15" s="10" t="s">
        <v>90</v>
      </c>
      <c r="E15" s="12" t="s">
        <v>45</v>
      </c>
      <c r="F15" s="10" t="s">
        <v>91</v>
      </c>
      <c r="G15" s="16" t="s">
        <v>72</v>
      </c>
      <c r="H15" s="10" t="s">
        <v>92</v>
      </c>
      <c r="I15" s="14"/>
      <c r="J15" s="14"/>
      <c r="K15" s="14"/>
    </row>
    <row r="16" customFormat="false" ht="54" hidden="false" customHeight="true" outlineLevel="0" collapsed="false">
      <c r="A16" s="9" t="n">
        <v>13</v>
      </c>
      <c r="B16" s="10" t="s">
        <v>93</v>
      </c>
      <c r="C16" s="11" t="s">
        <v>94</v>
      </c>
      <c r="D16" s="10" t="s">
        <v>95</v>
      </c>
      <c r="E16" s="12" t="s">
        <v>45</v>
      </c>
      <c r="F16" s="10" t="s">
        <v>96</v>
      </c>
      <c r="G16" s="13" t="s">
        <v>34</v>
      </c>
      <c r="H16" s="10" t="s">
        <v>97</v>
      </c>
      <c r="I16" s="14"/>
      <c r="J16" s="14"/>
      <c r="K16" s="14"/>
    </row>
    <row r="17" customFormat="false" ht="54" hidden="false" customHeight="true" outlineLevel="0" collapsed="false">
      <c r="A17" s="9" t="n">
        <v>14</v>
      </c>
      <c r="B17" s="10" t="s">
        <v>98</v>
      </c>
      <c r="C17" s="11" t="s">
        <v>99</v>
      </c>
      <c r="D17" s="10" t="s">
        <v>100</v>
      </c>
      <c r="E17" s="12" t="s">
        <v>45</v>
      </c>
      <c r="F17" s="10" t="s">
        <v>101</v>
      </c>
      <c r="G17" s="16" t="s">
        <v>72</v>
      </c>
      <c r="H17" s="10" t="s">
        <v>102</v>
      </c>
      <c r="I17" s="14"/>
      <c r="J17" s="14"/>
      <c r="K17" s="14"/>
    </row>
    <row r="18" customFormat="false" ht="54" hidden="false" customHeight="true" outlineLevel="0" collapsed="false">
      <c r="A18" s="9" t="n">
        <v>15</v>
      </c>
      <c r="B18" s="10" t="s">
        <v>103</v>
      </c>
      <c r="C18" s="11" t="s">
        <v>104</v>
      </c>
      <c r="D18" s="10" t="s">
        <v>70</v>
      </c>
      <c r="E18" s="12" t="s">
        <v>45</v>
      </c>
      <c r="F18" s="10" t="s">
        <v>105</v>
      </c>
      <c r="G18" s="16" t="s">
        <v>72</v>
      </c>
      <c r="H18" s="10" t="s">
        <v>106</v>
      </c>
      <c r="I18" s="14"/>
      <c r="J18" s="14"/>
      <c r="K18" s="14"/>
    </row>
    <row r="19" customFormat="false" ht="54" hidden="false" customHeight="true" outlineLevel="0" collapsed="false">
      <c r="A19" s="9" t="n">
        <v>16</v>
      </c>
      <c r="B19" s="10" t="s">
        <v>107</v>
      </c>
      <c r="C19" s="11" t="s">
        <v>108</v>
      </c>
      <c r="D19" s="10" t="s">
        <v>109</v>
      </c>
      <c r="E19" s="12" t="s">
        <v>45</v>
      </c>
      <c r="F19" s="10" t="s">
        <v>110</v>
      </c>
      <c r="G19" s="13" t="s">
        <v>34</v>
      </c>
      <c r="H19" s="10" t="s">
        <v>111</v>
      </c>
      <c r="I19" s="14"/>
      <c r="J19" s="14"/>
      <c r="K19" s="14"/>
    </row>
    <row r="20" customFormat="false" ht="54" hidden="false" customHeight="true" outlineLevel="0" collapsed="false">
      <c r="A20" s="9" t="n">
        <v>17</v>
      </c>
      <c r="B20" s="10" t="s">
        <v>112</v>
      </c>
      <c r="C20" s="11" t="s">
        <v>113</v>
      </c>
      <c r="D20" s="10" t="s">
        <v>44</v>
      </c>
      <c r="E20" s="12" t="s">
        <v>45</v>
      </c>
      <c r="F20" s="10" t="s">
        <v>114</v>
      </c>
      <c r="G20" s="13" t="s">
        <v>34</v>
      </c>
      <c r="H20" s="10" t="s">
        <v>115</v>
      </c>
      <c r="I20" s="14"/>
      <c r="J20" s="14"/>
      <c r="K20" s="14"/>
    </row>
    <row r="21" customFormat="false" ht="54" hidden="false" customHeight="true" outlineLevel="0" collapsed="false">
      <c r="A21" s="9" t="n">
        <v>18</v>
      </c>
      <c r="B21" s="10" t="s">
        <v>116</v>
      </c>
      <c r="C21" s="11" t="s">
        <v>117</v>
      </c>
      <c r="D21" s="10" t="s">
        <v>118</v>
      </c>
      <c r="E21" s="12" t="s">
        <v>45</v>
      </c>
      <c r="F21" s="10" t="s">
        <v>119</v>
      </c>
      <c r="G21" s="13" t="s">
        <v>34</v>
      </c>
      <c r="H21" s="10" t="s">
        <v>120</v>
      </c>
      <c r="I21" s="14"/>
      <c r="J21" s="14"/>
      <c r="K21" s="14"/>
    </row>
    <row r="22" customFormat="false" ht="54" hidden="false" customHeight="true" outlineLevel="0" collapsed="false">
      <c r="A22" s="9" t="n">
        <v>19</v>
      </c>
      <c r="B22" s="10" t="s">
        <v>121</v>
      </c>
      <c r="C22" s="11" t="s">
        <v>122</v>
      </c>
      <c r="D22" s="10" t="s">
        <v>76</v>
      </c>
      <c r="E22" s="12" t="s">
        <v>45</v>
      </c>
      <c r="F22" s="10" t="s">
        <v>123</v>
      </c>
      <c r="G22" s="16" t="s">
        <v>72</v>
      </c>
      <c r="H22" s="10" t="s">
        <v>124</v>
      </c>
      <c r="I22" s="14"/>
      <c r="J22" s="14"/>
      <c r="K22" s="14"/>
    </row>
    <row r="23" customFormat="false" ht="54" hidden="false" customHeight="true" outlineLevel="0" collapsed="false">
      <c r="A23" s="9" t="n">
        <v>20</v>
      </c>
      <c r="B23" s="10" t="s">
        <v>125</v>
      </c>
      <c r="C23" s="11" t="s">
        <v>126</v>
      </c>
      <c r="D23" s="10" t="s">
        <v>76</v>
      </c>
      <c r="E23" s="12" t="s">
        <v>45</v>
      </c>
      <c r="F23" s="10" t="s">
        <v>127</v>
      </c>
      <c r="G23" s="16" t="s">
        <v>72</v>
      </c>
      <c r="H23" s="10" t="s">
        <v>128</v>
      </c>
      <c r="I23" s="14"/>
      <c r="J23" s="14"/>
      <c r="K23" s="14"/>
    </row>
    <row r="24" customFormat="false" ht="54" hidden="false" customHeight="true" outlineLevel="0" collapsed="false">
      <c r="A24" s="9" t="n">
        <v>21</v>
      </c>
      <c r="B24" s="10" t="s">
        <v>129</v>
      </c>
      <c r="C24" s="11" t="s">
        <v>130</v>
      </c>
      <c r="D24" s="10" t="s">
        <v>76</v>
      </c>
      <c r="E24" s="12" t="s">
        <v>45</v>
      </c>
      <c r="F24" s="10" t="s">
        <v>131</v>
      </c>
      <c r="G24" s="16" t="s">
        <v>72</v>
      </c>
      <c r="H24" s="10" t="s">
        <v>132</v>
      </c>
      <c r="I24" s="14"/>
      <c r="J24" s="14"/>
      <c r="K24" s="14"/>
    </row>
    <row r="25" customFormat="false" ht="54" hidden="false" customHeight="true" outlineLevel="0" collapsed="false">
      <c r="A25" s="9" t="n">
        <v>22</v>
      </c>
      <c r="B25" s="10" t="s">
        <v>133</v>
      </c>
      <c r="C25" s="11" t="s">
        <v>134</v>
      </c>
      <c r="D25" s="10" t="s">
        <v>76</v>
      </c>
      <c r="E25" s="12" t="s">
        <v>135</v>
      </c>
      <c r="F25" s="10" t="s">
        <v>136</v>
      </c>
      <c r="G25" s="16" t="s">
        <v>72</v>
      </c>
      <c r="H25" s="10" t="s">
        <v>137</v>
      </c>
      <c r="I25" s="14"/>
      <c r="J25" s="14"/>
      <c r="K25" s="14"/>
    </row>
    <row r="26" customFormat="false" ht="54" hidden="false" customHeight="true" outlineLevel="0" collapsed="false">
      <c r="A26" s="9" t="n">
        <v>23</v>
      </c>
      <c r="B26" s="10" t="s">
        <v>138</v>
      </c>
      <c r="C26" s="11" t="s">
        <v>139</v>
      </c>
      <c r="D26" s="10" t="s">
        <v>76</v>
      </c>
      <c r="E26" s="12" t="s">
        <v>85</v>
      </c>
      <c r="F26" s="10" t="s">
        <v>140</v>
      </c>
      <c r="G26" s="13" t="s">
        <v>34</v>
      </c>
      <c r="H26" s="10" t="s">
        <v>141</v>
      </c>
      <c r="I26" s="14"/>
      <c r="J26" s="14"/>
      <c r="K26" s="14"/>
    </row>
    <row r="27" customFormat="false" ht="54" hidden="false" customHeight="true" outlineLevel="0" collapsed="false">
      <c r="A27" s="9" t="n">
        <v>24</v>
      </c>
      <c r="B27" s="10" t="s">
        <v>142</v>
      </c>
      <c r="C27" s="11" t="s">
        <v>143</v>
      </c>
      <c r="D27" s="10" t="s">
        <v>144</v>
      </c>
      <c r="E27" s="12" t="s">
        <v>45</v>
      </c>
      <c r="F27" s="10" t="s">
        <v>145</v>
      </c>
      <c r="G27" s="13" t="s">
        <v>34</v>
      </c>
      <c r="H27" s="10" t="s">
        <v>146</v>
      </c>
      <c r="I27" s="14"/>
      <c r="J27" s="14"/>
      <c r="K27" s="14"/>
    </row>
    <row r="28" customFormat="false" ht="54" hidden="false" customHeight="true" outlineLevel="0" collapsed="false">
      <c r="A28" s="9" t="n">
        <v>25</v>
      </c>
      <c r="B28" s="10" t="s">
        <v>147</v>
      </c>
      <c r="C28" s="11" t="s">
        <v>148</v>
      </c>
      <c r="D28" s="10" t="s">
        <v>149</v>
      </c>
      <c r="E28" s="12" t="s">
        <v>45</v>
      </c>
      <c r="F28" s="10" t="s">
        <v>150</v>
      </c>
      <c r="G28" s="16" t="s">
        <v>72</v>
      </c>
      <c r="H28" s="10" t="s">
        <v>137</v>
      </c>
      <c r="I28" s="14"/>
      <c r="J28" s="14"/>
      <c r="K28" s="14"/>
    </row>
    <row r="29" customFormat="false" ht="54" hidden="false" customHeight="true" outlineLevel="0" collapsed="false">
      <c r="A29" s="9" t="n">
        <v>26</v>
      </c>
      <c r="B29" s="10" t="s">
        <v>151</v>
      </c>
      <c r="C29" s="11" t="s">
        <v>152</v>
      </c>
      <c r="D29" s="10" t="s">
        <v>153</v>
      </c>
      <c r="E29" s="12" t="s">
        <v>45</v>
      </c>
      <c r="F29" s="10" t="s">
        <v>154</v>
      </c>
      <c r="G29" s="13" t="s">
        <v>34</v>
      </c>
      <c r="H29" s="10" t="s">
        <v>155</v>
      </c>
      <c r="I29" s="14"/>
      <c r="J29" s="14"/>
      <c r="K29" s="14"/>
    </row>
    <row r="30" customFormat="false" ht="54" hidden="false" customHeight="true" outlineLevel="0" collapsed="false">
      <c r="A30" s="9" t="n">
        <v>27</v>
      </c>
      <c r="B30" s="10" t="s">
        <v>156</v>
      </c>
      <c r="C30" s="11" t="s">
        <v>157</v>
      </c>
      <c r="D30" s="10" t="s">
        <v>158</v>
      </c>
      <c r="E30" s="12" t="s">
        <v>45</v>
      </c>
      <c r="F30" s="10" t="s">
        <v>159</v>
      </c>
      <c r="G30" s="16" t="s">
        <v>72</v>
      </c>
      <c r="H30" s="10" t="s">
        <v>160</v>
      </c>
      <c r="I30" s="14"/>
      <c r="J30" s="14"/>
      <c r="K30" s="14"/>
    </row>
    <row r="31" customFormat="false" ht="54" hidden="false" customHeight="true" outlineLevel="0" collapsed="false">
      <c r="A31" s="9" t="n">
        <v>28</v>
      </c>
      <c r="B31" s="10" t="s">
        <v>161</v>
      </c>
      <c r="C31" s="11" t="s">
        <v>162</v>
      </c>
      <c r="D31" s="10" t="s">
        <v>118</v>
      </c>
      <c r="E31" s="12" t="s">
        <v>45</v>
      </c>
      <c r="F31" s="10" t="s">
        <v>163</v>
      </c>
      <c r="G31" s="16" t="s">
        <v>72</v>
      </c>
      <c r="H31" s="10" t="s">
        <v>164</v>
      </c>
      <c r="I31" s="14"/>
      <c r="J31" s="14"/>
      <c r="K31" s="14"/>
    </row>
  </sheetData>
  <autoFilter ref="A3:K31"/>
  <dataValidations count="1">
    <dataValidation allowBlank="true" errorStyle="stop" operator="between" showDropDown="false" showErrorMessage="false" showInputMessage="false" sqref="I4:I31" type="list">
      <formula1>"DEFERRED,DROPPED,COVERED,WILL-ADD,CONFIRM-BUILT,TBD"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6" t="s">
        <v>165</v>
      </c>
    </row>
    <row r="2" customFormat="false" ht="25.5" hidden="false" customHeight="true" outlineLevel="0" collapsed="false">
      <c r="A2" s="8" t="s">
        <v>166</v>
      </c>
      <c r="B2" s="8" t="s">
        <v>167</v>
      </c>
      <c r="C2" s="8" t="s">
        <v>168</v>
      </c>
      <c r="D2" s="8" t="s">
        <v>169</v>
      </c>
      <c r="E2" s="8" t="s">
        <v>170</v>
      </c>
    </row>
    <row r="3" customFormat="false" ht="15" hidden="false" customHeight="false" outlineLevel="0" collapsed="false">
      <c r="A3" s="10" t="s">
        <v>171</v>
      </c>
      <c r="B3" s="12" t="n">
        <v>17</v>
      </c>
      <c r="C3" s="12" t="s">
        <v>172</v>
      </c>
      <c r="D3" s="16" t="s">
        <v>173</v>
      </c>
      <c r="E3" s="10" t="s">
        <v>174</v>
      </c>
    </row>
    <row r="4" customFormat="false" ht="15" hidden="false" customHeight="false" outlineLevel="0" collapsed="false">
      <c r="A4" s="10" t="s">
        <v>175</v>
      </c>
      <c r="B4" s="12" t="n">
        <v>4</v>
      </c>
      <c r="C4" s="12" t="s">
        <v>176</v>
      </c>
      <c r="D4" s="17" t="s">
        <v>177</v>
      </c>
      <c r="E4" s="10" t="s">
        <v>178</v>
      </c>
    </row>
    <row r="5" customFormat="false" ht="15" hidden="false" customHeight="false" outlineLevel="0" collapsed="false">
      <c r="A5" s="10" t="s">
        <v>179</v>
      </c>
      <c r="B5" s="12" t="n">
        <v>7</v>
      </c>
      <c r="C5" s="12" t="s">
        <v>176</v>
      </c>
      <c r="D5" s="16" t="s">
        <v>173</v>
      </c>
      <c r="E5" s="10"/>
    </row>
    <row r="6" customFormat="false" ht="15" hidden="false" customHeight="false" outlineLevel="0" collapsed="false">
      <c r="A6" s="10" t="s">
        <v>180</v>
      </c>
      <c r="B6" s="12" t="n">
        <v>14</v>
      </c>
      <c r="C6" s="12" t="s">
        <v>176</v>
      </c>
      <c r="D6" s="16" t="s">
        <v>173</v>
      </c>
      <c r="E6" s="10" t="s">
        <v>181</v>
      </c>
    </row>
    <row r="7" customFormat="false" ht="15" hidden="false" customHeight="false" outlineLevel="0" collapsed="false">
      <c r="A7" s="10" t="s">
        <v>182</v>
      </c>
      <c r="B7" s="12" t="n">
        <v>22</v>
      </c>
      <c r="C7" s="12" t="s">
        <v>183</v>
      </c>
      <c r="D7" s="16" t="s">
        <v>173</v>
      </c>
      <c r="E7" s="10" t="s">
        <v>184</v>
      </c>
    </row>
    <row r="8" customFormat="false" ht="15" hidden="false" customHeight="false" outlineLevel="0" collapsed="false">
      <c r="A8" s="10" t="s">
        <v>185</v>
      </c>
      <c r="B8" s="12" t="n">
        <v>11</v>
      </c>
      <c r="C8" s="12" t="s">
        <v>186</v>
      </c>
      <c r="D8" s="16" t="s">
        <v>173</v>
      </c>
      <c r="E8" s="10" t="s">
        <v>187</v>
      </c>
    </row>
    <row r="9" customFormat="false" ht="15" hidden="false" customHeight="false" outlineLevel="0" collapsed="false">
      <c r="A9" s="10" t="s">
        <v>188</v>
      </c>
      <c r="B9" s="12" t="n">
        <v>10</v>
      </c>
      <c r="C9" s="12" t="s">
        <v>186</v>
      </c>
      <c r="D9" s="16" t="s">
        <v>173</v>
      </c>
      <c r="E9" s="10" t="s">
        <v>189</v>
      </c>
    </row>
    <row r="10" customFormat="false" ht="15" hidden="false" customHeight="false" outlineLevel="0" collapsed="false">
      <c r="A10" s="10" t="s">
        <v>190</v>
      </c>
      <c r="B10" s="12" t="n">
        <v>7</v>
      </c>
      <c r="C10" s="12" t="s">
        <v>191</v>
      </c>
      <c r="D10" s="16" t="s">
        <v>173</v>
      </c>
      <c r="E10" s="10" t="s">
        <v>192</v>
      </c>
    </row>
    <row r="11" customFormat="false" ht="15" hidden="false" customHeight="false" outlineLevel="0" collapsed="false">
      <c r="A11" s="10" t="s">
        <v>193</v>
      </c>
      <c r="B11" s="12" t="n">
        <v>11</v>
      </c>
      <c r="C11" s="12" t="s">
        <v>194</v>
      </c>
      <c r="D11" s="17" t="s">
        <v>177</v>
      </c>
      <c r="E11" s="10" t="s">
        <v>195</v>
      </c>
    </row>
    <row r="12" customFormat="false" ht="15" hidden="false" customHeight="false" outlineLevel="0" collapsed="false">
      <c r="A12" s="10" t="s">
        <v>196</v>
      </c>
      <c r="B12" s="12" t="n">
        <v>17</v>
      </c>
      <c r="C12" s="12" t="s">
        <v>194</v>
      </c>
      <c r="D12" s="16" t="s">
        <v>173</v>
      </c>
      <c r="E12" s="10" t="s">
        <v>197</v>
      </c>
    </row>
    <row r="13" customFormat="false" ht="15" hidden="false" customHeight="false" outlineLevel="0" collapsed="false">
      <c r="A13" s="10" t="s">
        <v>198</v>
      </c>
      <c r="B13" s="12" t="n">
        <v>8</v>
      </c>
      <c r="C13" s="12" t="s">
        <v>191</v>
      </c>
      <c r="D13" s="16" t="s">
        <v>173</v>
      </c>
      <c r="E13" s="10" t="s">
        <v>199</v>
      </c>
    </row>
    <row r="14" customFormat="false" ht="15" hidden="false" customHeight="false" outlineLevel="0" collapsed="false">
      <c r="A14" s="10" t="s">
        <v>200</v>
      </c>
      <c r="B14" s="12" t="n">
        <v>7</v>
      </c>
      <c r="C14" s="12" t="s">
        <v>201</v>
      </c>
      <c r="D14" s="13" t="s">
        <v>202</v>
      </c>
      <c r="E14" s="10" t="s">
        <v>203</v>
      </c>
    </row>
    <row r="15" customFormat="false" ht="15" hidden="false" customHeight="false" outlineLevel="0" collapsed="false">
      <c r="A15" s="10" t="s">
        <v>204</v>
      </c>
      <c r="B15" s="12" t="n">
        <v>10</v>
      </c>
      <c r="C15" s="12" t="s">
        <v>201</v>
      </c>
      <c r="D15" s="16" t="s">
        <v>173</v>
      </c>
      <c r="E15" s="10" t="s">
        <v>205</v>
      </c>
    </row>
    <row r="16" customFormat="false" ht="15" hidden="false" customHeight="false" outlineLevel="0" collapsed="false">
      <c r="A16" s="10" t="s">
        <v>206</v>
      </c>
      <c r="B16" s="12" t="n">
        <v>9</v>
      </c>
      <c r="C16" s="12" t="s">
        <v>207</v>
      </c>
      <c r="D16" s="16" t="s">
        <v>173</v>
      </c>
      <c r="E16" s="10" t="s">
        <v>208</v>
      </c>
    </row>
    <row r="17" customFormat="false" ht="15" hidden="false" customHeight="false" outlineLevel="0" collapsed="false">
      <c r="A17" s="10" t="s">
        <v>209</v>
      </c>
      <c r="B17" s="12" t="n">
        <v>9</v>
      </c>
      <c r="C17" s="12" t="s">
        <v>176</v>
      </c>
      <c r="D17" s="16" t="s">
        <v>173</v>
      </c>
      <c r="E17" s="10" t="s">
        <v>210</v>
      </c>
    </row>
    <row r="18" customFormat="false" ht="15" hidden="false" customHeight="false" outlineLevel="0" collapsed="false">
      <c r="A18" s="10" t="s">
        <v>90</v>
      </c>
      <c r="B18" s="12" t="n">
        <v>8</v>
      </c>
      <c r="C18" s="12" t="s">
        <v>211</v>
      </c>
      <c r="D18" s="13" t="s">
        <v>202</v>
      </c>
      <c r="E18" s="10" t="s">
        <v>212</v>
      </c>
    </row>
    <row r="19" customFormat="false" ht="15" hidden="false" customHeight="false" outlineLevel="0" collapsed="false">
      <c r="A19" s="10" t="s">
        <v>213</v>
      </c>
      <c r="B19" s="12" t="n">
        <v>8</v>
      </c>
      <c r="C19" s="12" t="s">
        <v>214</v>
      </c>
      <c r="D19" s="16" t="s">
        <v>173</v>
      </c>
      <c r="E19" s="10" t="s">
        <v>215</v>
      </c>
    </row>
    <row r="20" customFormat="false" ht="15" hidden="false" customHeight="false" outlineLevel="0" collapsed="false">
      <c r="A20" s="10" t="s">
        <v>216</v>
      </c>
      <c r="B20" s="12" t="n">
        <v>18</v>
      </c>
      <c r="C20" s="12" t="s">
        <v>217</v>
      </c>
      <c r="D20" s="13" t="s">
        <v>202</v>
      </c>
      <c r="E20" s="10" t="s">
        <v>218</v>
      </c>
    </row>
    <row r="21" customFormat="false" ht="15" hidden="false" customHeight="false" outlineLevel="0" collapsed="false">
      <c r="A21" s="10" t="s">
        <v>219</v>
      </c>
      <c r="B21" s="12" t="n">
        <v>4</v>
      </c>
      <c r="C21" s="12" t="s">
        <v>220</v>
      </c>
      <c r="D21" s="13" t="s">
        <v>202</v>
      </c>
      <c r="E21" s="10" t="s">
        <v>221</v>
      </c>
    </row>
    <row r="22" customFormat="false" ht="15" hidden="false" customHeight="false" outlineLevel="0" collapsed="false">
      <c r="A22" s="10" t="s">
        <v>222</v>
      </c>
      <c r="B22" s="12" t="n">
        <v>16</v>
      </c>
      <c r="C22" s="12" t="s">
        <v>223</v>
      </c>
      <c r="D22" s="16" t="s">
        <v>173</v>
      </c>
      <c r="E22" s="10" t="s">
        <v>224</v>
      </c>
    </row>
    <row r="23" customFormat="false" ht="15" hidden="false" customHeight="false" outlineLevel="0" collapsed="false">
      <c r="A23" s="10" t="s">
        <v>225</v>
      </c>
      <c r="B23" s="12" t="n">
        <v>4</v>
      </c>
      <c r="C23" s="12" t="s">
        <v>183</v>
      </c>
      <c r="D23" s="16" t="s">
        <v>173</v>
      </c>
      <c r="E23" s="10" t="s">
        <v>226</v>
      </c>
    </row>
    <row r="24" customFormat="false" ht="15" hidden="false" customHeight="false" outlineLevel="0" collapsed="false">
      <c r="A24" s="10" t="s">
        <v>227</v>
      </c>
      <c r="B24" s="12" t="n">
        <v>7</v>
      </c>
      <c r="C24" s="12" t="s">
        <v>186</v>
      </c>
      <c r="D24" s="16" t="s">
        <v>173</v>
      </c>
      <c r="E24" s="10" t="s">
        <v>228</v>
      </c>
    </row>
    <row r="25" customFormat="false" ht="15" hidden="false" customHeight="false" outlineLevel="0" collapsed="false">
      <c r="A25" s="10" t="s">
        <v>229</v>
      </c>
      <c r="B25" s="12" t="n">
        <v>14</v>
      </c>
      <c r="C25" s="12" t="s">
        <v>194</v>
      </c>
      <c r="D25" s="13" t="s">
        <v>202</v>
      </c>
      <c r="E25" s="10" t="s">
        <v>230</v>
      </c>
    </row>
    <row r="26" customFormat="false" ht="15" hidden="false" customHeight="false" outlineLevel="0" collapsed="false">
      <c r="A26" s="10" t="s">
        <v>231</v>
      </c>
      <c r="B26" s="12" t="n">
        <v>6</v>
      </c>
      <c r="C26" s="12" t="s">
        <v>194</v>
      </c>
      <c r="D26" s="17" t="s">
        <v>177</v>
      </c>
      <c r="E26" s="10" t="s">
        <v>232</v>
      </c>
    </row>
    <row r="27" customFormat="false" ht="15" hidden="false" customHeight="false" outlineLevel="0" collapsed="false">
      <c r="A27" s="10" t="s">
        <v>233</v>
      </c>
      <c r="B27" s="12" t="n">
        <v>6</v>
      </c>
      <c r="C27" s="12" t="s">
        <v>201</v>
      </c>
      <c r="D27" s="16" t="s">
        <v>173</v>
      </c>
      <c r="E27" s="10" t="s">
        <v>234</v>
      </c>
    </row>
    <row r="28" customFormat="false" ht="15" hidden="false" customHeight="false" outlineLevel="0" collapsed="false">
      <c r="A28" s="10" t="s">
        <v>235</v>
      </c>
      <c r="B28" s="12" t="n">
        <v>5</v>
      </c>
      <c r="C28" s="12" t="s">
        <v>207</v>
      </c>
      <c r="D28" s="16" t="s">
        <v>173</v>
      </c>
      <c r="E28" s="10"/>
    </row>
    <row r="29" customFormat="false" ht="15" hidden="false" customHeight="false" outlineLevel="0" collapsed="false">
      <c r="A29" s="10" t="s">
        <v>236</v>
      </c>
      <c r="B29" s="12" t="n">
        <v>5</v>
      </c>
      <c r="C29" s="12" t="s">
        <v>201</v>
      </c>
      <c r="D29" s="13" t="s">
        <v>202</v>
      </c>
      <c r="E29" s="10" t="s">
        <v>237</v>
      </c>
    </row>
    <row r="30" customFormat="false" ht="15" hidden="false" customHeight="false" outlineLevel="0" collapsed="false">
      <c r="A30" s="10" t="s">
        <v>238</v>
      </c>
      <c r="B30" s="12" t="n">
        <v>5</v>
      </c>
      <c r="C30" s="12" t="s">
        <v>239</v>
      </c>
      <c r="D30" s="17" t="s">
        <v>177</v>
      </c>
      <c r="E30" s="10" t="s">
        <v>240</v>
      </c>
    </row>
    <row r="31" customFormat="false" ht="22.35" hidden="false" customHeight="false" outlineLevel="0" collapsed="false">
      <c r="A31" s="10" t="s">
        <v>241</v>
      </c>
      <c r="B31" s="12" t="n">
        <v>6</v>
      </c>
      <c r="C31" s="12" t="s">
        <v>242</v>
      </c>
      <c r="D31" s="13" t="s">
        <v>202</v>
      </c>
      <c r="E31" s="10" t="s">
        <v>243</v>
      </c>
    </row>
    <row r="32" customFormat="false" ht="15" hidden="false" customHeight="false" outlineLevel="0" collapsed="false">
      <c r="A32" s="10" t="s">
        <v>244</v>
      </c>
      <c r="B32" s="12" t="n">
        <v>10</v>
      </c>
      <c r="C32" s="12" t="s">
        <v>245</v>
      </c>
      <c r="D32" s="16" t="s">
        <v>173</v>
      </c>
      <c r="E32" s="10" t="s">
        <v>246</v>
      </c>
    </row>
    <row r="33" customFormat="false" ht="15" hidden="false" customHeight="false" outlineLevel="0" collapsed="false">
      <c r="A33" s="10" t="s">
        <v>247</v>
      </c>
      <c r="B33" s="12" t="n">
        <v>5</v>
      </c>
      <c r="C33" s="12" t="s">
        <v>248</v>
      </c>
      <c r="D33" s="17" t="s">
        <v>177</v>
      </c>
      <c r="E33" s="10" t="s">
        <v>249</v>
      </c>
    </row>
    <row r="34" customFormat="false" ht="15" hidden="false" customHeight="false" outlineLevel="0" collapsed="false">
      <c r="A34" s="10" t="s">
        <v>250</v>
      </c>
      <c r="B34" s="12" t="n">
        <v>9</v>
      </c>
      <c r="C34" s="12" t="s">
        <v>245</v>
      </c>
      <c r="D34" s="16" t="s">
        <v>173</v>
      </c>
      <c r="E34" s="10" t="s">
        <v>251</v>
      </c>
    </row>
    <row r="35" customFormat="false" ht="15" hidden="false" customHeight="false" outlineLevel="0" collapsed="false">
      <c r="A35" s="10" t="s">
        <v>252</v>
      </c>
      <c r="B35" s="12" t="n">
        <v>11</v>
      </c>
      <c r="C35" s="12" t="s">
        <v>245</v>
      </c>
      <c r="D35" s="16" t="s">
        <v>173</v>
      </c>
      <c r="E35" s="10" t="s">
        <v>253</v>
      </c>
    </row>
    <row r="36" customFormat="false" ht="15" hidden="false" customHeight="false" outlineLevel="0" collapsed="false">
      <c r="A36" s="10" t="s">
        <v>254</v>
      </c>
      <c r="B36" s="12" t="n">
        <v>6</v>
      </c>
      <c r="C36" s="12" t="s">
        <v>245</v>
      </c>
      <c r="D36" s="16" t="s">
        <v>173</v>
      </c>
      <c r="E36" s="10" t="s">
        <v>255</v>
      </c>
    </row>
    <row r="37" customFormat="false" ht="15" hidden="false" customHeight="false" outlineLevel="0" collapsed="false">
      <c r="A37" s="10" t="s">
        <v>256</v>
      </c>
      <c r="B37" s="12" t="n">
        <v>3</v>
      </c>
      <c r="C37" s="12" t="s">
        <v>245</v>
      </c>
      <c r="D37" s="16" t="s">
        <v>173</v>
      </c>
      <c r="E37" s="10" t="s">
        <v>257</v>
      </c>
    </row>
    <row r="38" customFormat="false" ht="15" hidden="false" customHeight="false" outlineLevel="0" collapsed="false">
      <c r="A38" s="10" t="s">
        <v>258</v>
      </c>
      <c r="B38" s="12" t="n">
        <v>7</v>
      </c>
      <c r="C38" s="12" t="s">
        <v>245</v>
      </c>
      <c r="D38" s="16" t="s">
        <v>173</v>
      </c>
      <c r="E38" s="10" t="s">
        <v>259</v>
      </c>
    </row>
    <row r="39" customFormat="false" ht="15" hidden="false" customHeight="false" outlineLevel="0" collapsed="false">
      <c r="A39" s="10" t="s">
        <v>260</v>
      </c>
      <c r="B39" s="12" t="n">
        <v>5</v>
      </c>
      <c r="C39" s="12" t="s">
        <v>245</v>
      </c>
      <c r="D39" s="13" t="s">
        <v>202</v>
      </c>
      <c r="E39" s="10" t="s">
        <v>261</v>
      </c>
    </row>
    <row r="40" customFormat="false" ht="15" hidden="false" customHeight="false" outlineLevel="0" collapsed="false">
      <c r="A40" s="10" t="s">
        <v>262</v>
      </c>
      <c r="B40" s="12" t="n">
        <v>5</v>
      </c>
      <c r="C40" s="12" t="s">
        <v>263</v>
      </c>
      <c r="D40" s="13" t="s">
        <v>202</v>
      </c>
      <c r="E40" s="10" t="s">
        <v>264</v>
      </c>
    </row>
    <row r="41" customFormat="false" ht="15" hidden="false" customHeight="false" outlineLevel="0" collapsed="false">
      <c r="A41" s="10" t="s">
        <v>265</v>
      </c>
      <c r="B41" s="12" t="n">
        <v>2</v>
      </c>
      <c r="C41" s="12" t="s">
        <v>245</v>
      </c>
      <c r="D41" s="13" t="s">
        <v>202</v>
      </c>
      <c r="E41" s="10" t="s">
        <v>266</v>
      </c>
    </row>
    <row r="42" customFormat="false" ht="15" hidden="false" customHeight="false" outlineLevel="0" collapsed="false">
      <c r="A42" s="10" t="s">
        <v>267</v>
      </c>
      <c r="B42" s="12" t="n">
        <v>1</v>
      </c>
      <c r="C42" s="12" t="s">
        <v>245</v>
      </c>
      <c r="D42" s="17" t="s">
        <v>177</v>
      </c>
      <c r="E42" s="10" t="s">
        <v>268</v>
      </c>
    </row>
    <row r="43" customFormat="false" ht="15" hidden="false" customHeight="false" outlineLevel="0" collapsed="false">
      <c r="A43" s="10" t="s">
        <v>269</v>
      </c>
      <c r="B43" s="12" t="n">
        <v>1</v>
      </c>
      <c r="C43" s="12" t="s">
        <v>270</v>
      </c>
      <c r="D43" s="15" t="s">
        <v>271</v>
      </c>
      <c r="E43" s="10" t="s">
        <v>272</v>
      </c>
    </row>
    <row r="44" customFormat="false" ht="15" hidden="false" customHeight="false" outlineLevel="0" collapsed="false">
      <c r="A44" s="10" t="s">
        <v>38</v>
      </c>
      <c r="B44" s="12" t="n">
        <v>18</v>
      </c>
      <c r="C44" s="12" t="s">
        <v>270</v>
      </c>
      <c r="D44" s="15" t="s">
        <v>271</v>
      </c>
      <c r="E44" s="10" t="s">
        <v>273</v>
      </c>
    </row>
    <row r="45" customFormat="false" ht="15" hidden="false" customHeight="false" outlineLevel="0" collapsed="false">
      <c r="A45" s="10" t="s">
        <v>31</v>
      </c>
      <c r="B45" s="12" t="n">
        <v>18</v>
      </c>
      <c r="C45" s="12" t="s">
        <v>270</v>
      </c>
      <c r="D45" s="15" t="s">
        <v>271</v>
      </c>
      <c r="E45" s="10" t="s">
        <v>274</v>
      </c>
    </row>
    <row r="46" customFormat="false" ht="15" hidden="false" customHeight="false" outlineLevel="0" collapsed="false">
      <c r="A46" s="10" t="s">
        <v>275</v>
      </c>
      <c r="B46" s="12" t="n">
        <v>5</v>
      </c>
      <c r="C46" s="12" t="s">
        <v>276</v>
      </c>
      <c r="D46" s="13" t="s">
        <v>202</v>
      </c>
      <c r="E46" s="10" t="s">
        <v>277</v>
      </c>
    </row>
    <row r="47" customFormat="false" ht="15" hidden="false" customHeight="false" outlineLevel="0" collapsed="false">
      <c r="A47" s="10" t="s">
        <v>278</v>
      </c>
      <c r="B47" s="12" t="n">
        <v>2</v>
      </c>
      <c r="C47" s="12" t="s">
        <v>270</v>
      </c>
      <c r="D47" s="15" t="s">
        <v>271</v>
      </c>
      <c r="E47" s="10" t="s">
        <v>279</v>
      </c>
    </row>
    <row r="48" customFormat="false" ht="15" hidden="false" customHeight="false" outlineLevel="0" collapsed="false">
      <c r="A48" s="10" t="s">
        <v>280</v>
      </c>
      <c r="B48" s="12" t="n">
        <v>7</v>
      </c>
      <c r="C48" s="12" t="s">
        <v>281</v>
      </c>
      <c r="D48" s="16" t="s">
        <v>173</v>
      </c>
      <c r="E48" s="10" t="s">
        <v>282</v>
      </c>
    </row>
    <row r="49" customFormat="false" ht="15" hidden="false" customHeight="false" outlineLevel="0" collapsed="false">
      <c r="A49" s="10" t="s">
        <v>283</v>
      </c>
      <c r="B49" s="12" t="n">
        <v>4</v>
      </c>
      <c r="C49" s="12" t="s">
        <v>284</v>
      </c>
      <c r="D49" s="13" t="s">
        <v>202</v>
      </c>
      <c r="E49" s="10" t="s">
        <v>285</v>
      </c>
    </row>
    <row r="51" customFormat="false" ht="15" hidden="false" customHeight="false" outlineLevel="0" collapsed="false">
      <c r="A51" s="18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4"/>
    <col collapsed="false" customWidth="true" hidden="false" outlineLevel="0" max="4" min="4" style="0" width="44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6" t="s">
        <v>287</v>
      </c>
    </row>
    <row r="2" customFormat="false" ht="25.5" hidden="false" customHeight="true" outlineLevel="0" collapsed="false">
      <c r="A2" s="8" t="s">
        <v>288</v>
      </c>
      <c r="B2" s="8" t="s">
        <v>289</v>
      </c>
      <c r="C2" s="8" t="s">
        <v>290</v>
      </c>
      <c r="D2" s="8" t="s">
        <v>291</v>
      </c>
      <c r="E2" s="8" t="s">
        <v>292</v>
      </c>
    </row>
    <row r="3" customFormat="false" ht="49.5" hidden="false" customHeight="true" outlineLevel="0" collapsed="false">
      <c r="A3" s="11" t="s">
        <v>293</v>
      </c>
      <c r="B3" s="10" t="s">
        <v>294</v>
      </c>
      <c r="C3" s="10" t="s">
        <v>295</v>
      </c>
      <c r="D3" s="10" t="s">
        <v>296</v>
      </c>
      <c r="E3" s="14"/>
    </row>
    <row r="4" customFormat="false" ht="49.5" hidden="false" customHeight="true" outlineLevel="0" collapsed="false">
      <c r="A4" s="11" t="s">
        <v>297</v>
      </c>
      <c r="B4" s="10" t="s">
        <v>298</v>
      </c>
      <c r="C4" s="10" t="s">
        <v>299</v>
      </c>
      <c r="D4" s="10" t="s">
        <v>300</v>
      </c>
      <c r="E4" s="14"/>
    </row>
    <row r="5" customFormat="false" ht="49.5" hidden="false" customHeight="true" outlineLevel="0" collapsed="false">
      <c r="A5" s="11" t="s">
        <v>301</v>
      </c>
      <c r="B5" s="10" t="s">
        <v>302</v>
      </c>
      <c r="C5" s="10" t="s">
        <v>303</v>
      </c>
      <c r="D5" s="10" t="s">
        <v>304</v>
      </c>
      <c r="E5" s="14"/>
    </row>
    <row r="6" customFormat="false" ht="49.5" hidden="false" customHeight="true" outlineLevel="0" collapsed="false">
      <c r="A6" s="11" t="s">
        <v>305</v>
      </c>
      <c r="B6" s="10" t="s">
        <v>306</v>
      </c>
      <c r="C6" s="10" t="s">
        <v>307</v>
      </c>
      <c r="D6" s="10" t="s">
        <v>308</v>
      </c>
      <c r="E6" s="14"/>
    </row>
    <row r="7" customFormat="false" ht="49.5" hidden="false" customHeight="true" outlineLevel="0" collapsed="false">
      <c r="A7" s="11" t="s">
        <v>309</v>
      </c>
      <c r="B7" s="10" t="s">
        <v>310</v>
      </c>
      <c r="C7" s="10" t="s">
        <v>311</v>
      </c>
      <c r="D7" s="10" t="s">
        <v>312</v>
      </c>
      <c r="E7" s="14"/>
    </row>
    <row r="8" customFormat="false" ht="49.5" hidden="false" customHeight="true" outlineLevel="0" collapsed="false">
      <c r="A8" s="11" t="s">
        <v>313</v>
      </c>
      <c r="B8" s="10" t="s">
        <v>314</v>
      </c>
      <c r="C8" s="10" t="s">
        <v>315</v>
      </c>
      <c r="D8" s="10" t="s">
        <v>316</v>
      </c>
      <c r="E8" s="14"/>
    </row>
    <row r="9" customFormat="false" ht="49.5" hidden="false" customHeight="true" outlineLevel="0" collapsed="false">
      <c r="A9" s="11" t="s">
        <v>317</v>
      </c>
      <c r="B9" s="10" t="s">
        <v>318</v>
      </c>
      <c r="C9" s="10" t="s">
        <v>319</v>
      </c>
      <c r="D9" s="10" t="s">
        <v>320</v>
      </c>
      <c r="E9" s="14"/>
    </row>
    <row r="10" customFormat="false" ht="49.5" hidden="false" customHeight="true" outlineLevel="0" collapsed="false">
      <c r="A10" s="11" t="s">
        <v>321</v>
      </c>
      <c r="B10" s="10" t="s">
        <v>322</v>
      </c>
      <c r="C10" s="10" t="s">
        <v>323</v>
      </c>
      <c r="D10" s="10" t="s">
        <v>324</v>
      </c>
      <c r="E10" s="14"/>
    </row>
    <row r="11" customFormat="false" ht="49.5" hidden="false" customHeight="true" outlineLevel="0" collapsed="false">
      <c r="A11" s="11" t="s">
        <v>325</v>
      </c>
      <c r="B11" s="10" t="s">
        <v>326</v>
      </c>
      <c r="C11" s="10" t="s">
        <v>327</v>
      </c>
      <c r="D11" s="10" t="s">
        <v>328</v>
      </c>
      <c r="E11" s="14"/>
    </row>
    <row r="12" customFormat="false" ht="49.5" hidden="false" customHeight="true" outlineLevel="0" collapsed="false">
      <c r="A12" s="11" t="s">
        <v>329</v>
      </c>
      <c r="B12" s="10" t="s">
        <v>330</v>
      </c>
      <c r="C12" s="10" t="s">
        <v>331</v>
      </c>
      <c r="D12" s="10" t="s">
        <v>332</v>
      </c>
      <c r="E12" s="14"/>
    </row>
    <row r="13" customFormat="false" ht="49.5" hidden="false" customHeight="true" outlineLevel="0" collapsed="false">
      <c r="A13" s="11" t="s">
        <v>333</v>
      </c>
      <c r="B13" s="10" t="s">
        <v>334</v>
      </c>
      <c r="C13" s="10" t="s">
        <v>335</v>
      </c>
      <c r="D13" s="10" t="s">
        <v>336</v>
      </c>
      <c r="E13" s="14"/>
    </row>
  </sheetData>
  <dataValidations count="1">
    <dataValidation allowBlank="true" errorStyle="stop" operator="between" showDropDown="false" showErrorMessage="false" showInputMessage="false" sqref="E3:E13" type="list">
      <formula1>"OK as-is,Need change,TBD"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6" t="s">
        <v>337</v>
      </c>
    </row>
    <row r="2" customFormat="false" ht="25.5" hidden="false" customHeight="true" outlineLevel="0" collapsed="false">
      <c r="A2" s="8" t="s">
        <v>338</v>
      </c>
      <c r="B2" s="8" t="s">
        <v>339</v>
      </c>
      <c r="C2" s="8" t="s">
        <v>340</v>
      </c>
    </row>
    <row r="3" customFormat="false" ht="43.5" hidden="false" customHeight="true" outlineLevel="0" collapsed="false">
      <c r="A3" s="11" t="s">
        <v>341</v>
      </c>
      <c r="B3" s="19" t="s">
        <v>342</v>
      </c>
      <c r="C3" s="10" t="s">
        <v>343</v>
      </c>
    </row>
    <row r="4" customFormat="false" ht="43.5" hidden="false" customHeight="true" outlineLevel="0" collapsed="false">
      <c r="A4" s="11" t="s">
        <v>344</v>
      </c>
      <c r="B4" s="19" t="s">
        <v>345</v>
      </c>
      <c r="C4" s="10" t="s">
        <v>346</v>
      </c>
    </row>
    <row r="5" customFormat="false" ht="43.5" hidden="false" customHeight="true" outlineLevel="0" collapsed="false">
      <c r="A5" s="11" t="s">
        <v>347</v>
      </c>
      <c r="B5" s="19" t="s">
        <v>348</v>
      </c>
      <c r="C5" s="10" t="s">
        <v>349</v>
      </c>
    </row>
    <row r="6" customFormat="false" ht="43.5" hidden="false" customHeight="true" outlineLevel="0" collapsed="false">
      <c r="A6" s="11" t="s">
        <v>307</v>
      </c>
      <c r="B6" s="19" t="s">
        <v>350</v>
      </c>
      <c r="C6" s="10" t="s">
        <v>351</v>
      </c>
    </row>
    <row r="7" customFormat="false" ht="43.5" hidden="false" customHeight="true" outlineLevel="0" collapsed="false">
      <c r="A7" s="11" t="s">
        <v>352</v>
      </c>
      <c r="B7" s="19" t="s">
        <v>353</v>
      </c>
      <c r="C7" s="10" t="s">
        <v>354</v>
      </c>
    </row>
    <row r="8" customFormat="false" ht="43.5" hidden="false" customHeight="true" outlineLevel="0" collapsed="false">
      <c r="A8" s="11" t="s">
        <v>355</v>
      </c>
      <c r="B8" s="19" t="s">
        <v>356</v>
      </c>
      <c r="C8" s="10" t="s">
        <v>357</v>
      </c>
    </row>
    <row r="9" customFormat="false" ht="43.5" hidden="false" customHeight="true" outlineLevel="0" collapsed="false">
      <c r="A9" s="11" t="s">
        <v>358</v>
      </c>
      <c r="B9" s="19" t="s">
        <v>359</v>
      </c>
      <c r="C9" s="10" t="s">
        <v>360</v>
      </c>
    </row>
    <row r="10" customFormat="false" ht="43.5" hidden="false" customHeight="true" outlineLevel="0" collapsed="false">
      <c r="A10" s="11" t="s">
        <v>361</v>
      </c>
      <c r="B10" s="19" t="s">
        <v>362</v>
      </c>
      <c r="C10" s="10" t="s">
        <v>363</v>
      </c>
    </row>
    <row r="11" customFormat="false" ht="43.5" hidden="false" customHeight="true" outlineLevel="0" collapsed="false">
      <c r="A11" s="11" t="s">
        <v>364</v>
      </c>
      <c r="B11" s="19" t="s">
        <v>365</v>
      </c>
      <c r="C11" s="10" t="s">
        <v>366</v>
      </c>
    </row>
    <row r="12" customFormat="false" ht="43.5" hidden="false" customHeight="true" outlineLevel="0" collapsed="false">
      <c r="A12" s="11" t="s">
        <v>367</v>
      </c>
      <c r="B12" s="19" t="s">
        <v>368</v>
      </c>
      <c r="C12" s="10" t="s">
        <v>369</v>
      </c>
    </row>
    <row r="13" customFormat="false" ht="43.5" hidden="false" customHeight="true" outlineLevel="0" collapsed="false">
      <c r="A13" s="11" t="s">
        <v>370</v>
      </c>
      <c r="B13" s="19" t="s">
        <v>371</v>
      </c>
      <c r="C13" s="10" t="s">
        <v>372</v>
      </c>
    </row>
    <row r="14" customFormat="false" ht="43.5" hidden="false" customHeight="true" outlineLevel="0" collapsed="false">
      <c r="A14" s="11" t="s">
        <v>373</v>
      </c>
      <c r="B14" s="19" t="s">
        <v>374</v>
      </c>
      <c r="C14" s="10" t="s">
        <v>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5" min="3" style="0" width="28"/>
  </cols>
  <sheetData>
    <row r="2" customFormat="false" ht="17.35" hidden="false" customHeight="false" outlineLevel="0" collapsed="false">
      <c r="B2" s="20" t="s">
        <v>376</v>
      </c>
    </row>
    <row r="3" customFormat="false" ht="15" hidden="false" customHeight="false" outlineLevel="0" collapsed="false">
      <c r="B3" s="21" t="s">
        <v>377</v>
      </c>
    </row>
    <row r="5" customFormat="false" ht="26.85" hidden="false" customHeight="false" outlineLevel="0" collapsed="false">
      <c r="B5" s="5" t="s">
        <v>378</v>
      </c>
    </row>
    <row r="6" customFormat="false" ht="15" hidden="false" customHeight="false" outlineLevel="0" collapsed="false">
      <c r="B6" s="4" t="s">
        <v>379</v>
      </c>
      <c r="C6" s="22" t="n">
        <f aca="false">COUNTA('GAP REGISTER'!C4:C31)</f>
        <v>28</v>
      </c>
    </row>
    <row r="7" customFormat="false" ht="15" hidden="false" customHeight="false" outlineLevel="0" collapsed="false">
      <c r="B7" s="4" t="s">
        <v>380</v>
      </c>
      <c r="C7" s="22" t="n">
        <f aca="false">COUNTIF('GAP REGISTER'!I4:I31,"DEFERRED")</f>
        <v>0</v>
      </c>
    </row>
    <row r="8" customFormat="false" ht="15" hidden="false" customHeight="false" outlineLevel="0" collapsed="false">
      <c r="B8" s="4" t="s">
        <v>381</v>
      </c>
      <c r="C8" s="22" t="n">
        <f aca="false">COUNTIF('GAP REGISTER'!I4:I31,"DROPPED")</f>
        <v>0</v>
      </c>
    </row>
    <row r="9" customFormat="false" ht="15" hidden="false" customHeight="false" outlineLevel="0" collapsed="false">
      <c r="B9" s="4" t="s">
        <v>382</v>
      </c>
      <c r="C9" s="22" t="n">
        <f aca="false">COUNTIF('GAP REGISTER'!I4:I31,"COVERED")</f>
        <v>0</v>
      </c>
    </row>
    <row r="10" customFormat="false" ht="15" hidden="false" customHeight="false" outlineLevel="0" collapsed="false">
      <c r="B10" s="4" t="s">
        <v>383</v>
      </c>
      <c r="C10" s="22" t="n">
        <f aca="false">COUNTIF('GAP REGISTER'!I4:I31,"WILL-ADD")</f>
        <v>0</v>
      </c>
    </row>
    <row r="11" customFormat="false" ht="15" hidden="false" customHeight="false" outlineLevel="0" collapsed="false">
      <c r="B11" s="4" t="s">
        <v>384</v>
      </c>
      <c r="C11" s="22" t="n">
        <f aca="false">COUNTIF('GAP REGISTER'!I4:I31,"CONFIRM-BUILT")</f>
        <v>0</v>
      </c>
    </row>
    <row r="12" customFormat="false" ht="15" hidden="false" customHeight="false" outlineLevel="0" collapsed="false">
      <c r="B12" s="4" t="s">
        <v>385</v>
      </c>
      <c r="C12" s="22" t="n">
        <f aca="false">COUNTIF('GAP REGISTER'!I4:I31,"TBD")+COUNTBLANK('GAP REGISTER'!I4:I31)</f>
        <v>28</v>
      </c>
    </row>
    <row r="14" customFormat="false" ht="35.05" hidden="false" customHeight="false" outlineLevel="0" collapsed="false">
      <c r="B14" s="23" t="s">
        <v>386</v>
      </c>
    </row>
    <row r="15" customFormat="false" ht="15" hidden="false" customHeight="false" outlineLevel="0" collapsed="false">
      <c r="B15" s="24" t="s">
        <v>387</v>
      </c>
    </row>
    <row r="16" customFormat="false" ht="23.85" hidden="false" customHeight="false" outlineLevel="0" collapsed="false">
      <c r="B16" s="24" t="s">
        <v>388</v>
      </c>
    </row>
    <row r="17" customFormat="false" ht="15" hidden="false" customHeight="false" outlineLevel="0" collapsed="false">
      <c r="B17" s="24" t="s">
        <v>389</v>
      </c>
    </row>
    <row r="18" customFormat="false" ht="15" hidden="false" customHeight="false" outlineLevel="0" collapsed="false">
      <c r="B18" s="24" t="s">
        <v>390</v>
      </c>
    </row>
    <row r="19" customFormat="false" ht="15" hidden="false" customHeight="false" outlineLevel="0" collapsed="false">
      <c r="B19" s="24" t="s">
        <v>391</v>
      </c>
    </row>
    <row r="21" customFormat="false" ht="15" hidden="false" customHeight="false" outlineLevel="0" collapsed="false">
      <c r="B21" s="3" t="s">
        <v>392</v>
      </c>
    </row>
    <row r="22" customFormat="false" ht="15" hidden="false" customHeight="false" outlineLevel="0" collapsed="false">
      <c r="B22" s="25" t="s">
        <v>393</v>
      </c>
      <c r="C22" s="25" t="s">
        <v>394</v>
      </c>
      <c r="D22" s="25" t="s">
        <v>395</v>
      </c>
      <c r="E22" s="25" t="s">
        <v>396</v>
      </c>
    </row>
    <row r="23" customFormat="false" ht="25.5" hidden="false" customHeight="true" outlineLevel="0" collapsed="false">
      <c r="B23" s="4" t="s">
        <v>397</v>
      </c>
      <c r="C23" s="4"/>
      <c r="D23" s="4"/>
      <c r="E23" s="4"/>
    </row>
    <row r="24" customFormat="false" ht="25.5" hidden="false" customHeight="true" outlineLevel="0" collapsed="false">
      <c r="B24" s="4" t="s">
        <v>398</v>
      </c>
      <c r="C24" s="4"/>
      <c r="D24" s="4"/>
      <c r="E24" s="4"/>
    </row>
    <row r="25" customFormat="false" ht="25.5" hidden="false" customHeight="true" outlineLevel="0" collapsed="false">
      <c r="B25" s="4" t="s">
        <v>399</v>
      </c>
      <c r="C25" s="4"/>
      <c r="D25" s="4"/>
      <c r="E25" s="4"/>
    </row>
    <row r="26" customFormat="false" ht="25.5" hidden="false" customHeight="true" outlineLevel="0" collapsed="false">
      <c r="B26" s="4" t="s">
        <v>400</v>
      </c>
      <c r="C26" s="4"/>
      <c r="D26" s="4"/>
      <c r="E26" s="4"/>
    </row>
    <row r="28" customFormat="false" ht="30" hidden="false" customHeight="true" outlineLevel="0" collapsed="false">
      <c r="B28" s="26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2026-06-15T03:04:57Z</dcterms:created>
  <dc:creator>openpyxl</dc:creator>
  <dc:description/>
  <dc:language>en-US</dc:language>
  <cp:lastModifiedBy/>
  <dcterms:modified xsi:type="dcterms:W3CDTF">2026-06-15T03:04:57Z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